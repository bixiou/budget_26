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bre\Documents\www\budget_26\data_ext\"/>
    </mc:Choice>
  </mc:AlternateContent>
  <bookViews>
    <workbookView xWindow="0" yWindow="735" windowWidth="12960" windowHeight="5865" tabRatio="831"/>
  </bookViews>
  <sheets>
    <sheet name="Quotas" sheetId="18" r:id="rId1"/>
    <sheet name="Election" sheetId="11" r:id="rId2"/>
    <sheet name="income_raw" sheetId="10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E2" i="18" l="1"/>
  <c r="AT2" i="18"/>
  <c r="AS2" i="18"/>
  <c r="AR2" i="18"/>
  <c r="N2" i="18"/>
  <c r="M2" i="18"/>
  <c r="L2" i="18"/>
  <c r="M3" i="10" l="1"/>
  <c r="M4" i="10"/>
  <c r="M5" i="10"/>
  <c r="M6" i="10"/>
  <c r="M7" i="10"/>
  <c r="M8" i="10"/>
  <c r="M9" i="10"/>
  <c r="M10" i="10"/>
  <c r="M11" i="10"/>
  <c r="M12" i="10"/>
  <c r="M2" i="10"/>
  <c r="J3" i="10"/>
  <c r="J4" i="10"/>
  <c r="J5" i="10"/>
  <c r="J6" i="10"/>
  <c r="J7" i="10"/>
  <c r="J8" i="10"/>
  <c r="J9" i="10"/>
  <c r="J10" i="10"/>
  <c r="J11" i="10"/>
  <c r="J12" i="10"/>
  <c r="J2" i="10"/>
  <c r="F3" i="10" l="1"/>
  <c r="F4" i="10"/>
  <c r="F5" i="10"/>
  <c r="F6" i="10"/>
  <c r="F7" i="10"/>
  <c r="F8" i="10"/>
  <c r="F9" i="10"/>
  <c r="F10" i="10"/>
  <c r="F11" i="10"/>
  <c r="F12" i="10"/>
  <c r="F2" i="10"/>
  <c r="C2" i="10" l="1"/>
  <c r="K2" i="10"/>
  <c r="C3" i="10"/>
  <c r="G3" i="10"/>
  <c r="C4" i="10"/>
  <c r="K4" i="10"/>
  <c r="C5" i="10"/>
  <c r="C6" i="10"/>
  <c r="C7" i="10"/>
  <c r="K7" i="10"/>
  <c r="C8" i="10"/>
  <c r="C9" i="10"/>
  <c r="K9" i="10"/>
  <c r="C10" i="10"/>
  <c r="C11" i="10"/>
  <c r="C12" i="10"/>
  <c r="K12" i="10"/>
  <c r="B26" i="10"/>
  <c r="B2" i="10" s="1"/>
  <c r="C26" i="10"/>
  <c r="D26" i="10"/>
  <c r="D5" i="10" s="1"/>
  <c r="E26" i="10"/>
  <c r="E5" i="10" s="1"/>
  <c r="F26" i="10"/>
  <c r="G26" i="10"/>
  <c r="H26" i="10"/>
  <c r="I26" i="10"/>
  <c r="J26" i="10"/>
  <c r="K26" i="10"/>
  <c r="K3" i="10" s="1"/>
  <c r="G27" i="10"/>
  <c r="H27" i="10"/>
  <c r="I27" i="10"/>
  <c r="J27" i="10"/>
  <c r="G28" i="10"/>
  <c r="G8" i="10" s="1"/>
  <c r="H28" i="10"/>
  <c r="H3" i="10" s="1"/>
  <c r="I28" i="10"/>
  <c r="I11" i="10" s="1"/>
  <c r="J28" i="10"/>
  <c r="E4" i="10" l="1"/>
  <c r="D4" i="10"/>
  <c r="D9" i="10"/>
  <c r="E8" i="10"/>
  <c r="E12" i="10"/>
  <c r="D3" i="10"/>
  <c r="E11" i="10"/>
  <c r="G6" i="10"/>
  <c r="E6" i="10"/>
  <c r="E10" i="10"/>
  <c r="D6" i="10"/>
  <c r="E9" i="10"/>
  <c r="G11" i="10"/>
  <c r="D2" i="10"/>
  <c r="D8" i="10"/>
  <c r="E3" i="10"/>
  <c r="D12" i="10"/>
  <c r="E7" i="10"/>
  <c r="D7" i="10"/>
  <c r="D11" i="10"/>
  <c r="K10" i="10"/>
  <c r="D10" i="10"/>
  <c r="H6" i="10"/>
  <c r="B8" i="10"/>
  <c r="H4" i="10"/>
  <c r="B6" i="10"/>
  <c r="I2" i="10"/>
  <c r="G2" i="10"/>
  <c r="B11" i="10"/>
  <c r="B3" i="10"/>
  <c r="G12" i="10"/>
  <c r="I7" i="10"/>
  <c r="H7" i="10"/>
  <c r="G7" i="10"/>
  <c r="E2" i="10"/>
  <c r="I9" i="10"/>
  <c r="I12" i="10"/>
  <c r="I4" i="10"/>
  <c r="K5" i="10"/>
  <c r="K8" i="10"/>
  <c r="B12" i="10"/>
  <c r="H5" i="10"/>
  <c r="B7" i="10"/>
  <c r="G9" i="10"/>
  <c r="H12" i="10"/>
  <c r="H10" i="10"/>
  <c r="B4" i="10"/>
  <c r="K6" i="10"/>
  <c r="I3" i="10"/>
  <c r="I6" i="10"/>
  <c r="B5" i="10"/>
  <c r="H9" i="10"/>
  <c r="G4" i="10"/>
  <c r="I10" i="10"/>
  <c r="B9" i="10"/>
  <c r="H2" i="10"/>
  <c r="G10" i="10"/>
  <c r="I5" i="10"/>
  <c r="K11" i="10"/>
  <c r="I8" i="10"/>
  <c r="G5" i="10"/>
  <c r="H8" i="10"/>
  <c r="H11" i="10"/>
  <c r="B10" i="10"/>
  <c r="L26" i="10" l="1"/>
  <c r="L5" i="10" l="1"/>
  <c r="L6" i="10"/>
  <c r="L9" i="10"/>
  <c r="L4" i="10"/>
  <c r="L7" i="10"/>
  <c r="L8" i="10"/>
  <c r="L10" i="10"/>
  <c r="L11" i="10"/>
  <c r="L3" i="10"/>
  <c r="L12" i="10"/>
  <c r="L2" i="10"/>
</calcChain>
</file>

<file path=xl/comments1.xml><?xml version="1.0" encoding="utf-8"?>
<comments xmlns="http://schemas.openxmlformats.org/spreadsheetml/2006/main">
  <authors>
    <author/>
  </authors>
  <commentList>
    <comment ref="B2" authorId="0" shapeId="0">
      <text>
        <r>
          <rPr>
            <sz val="10"/>
            <color rgb="FF000000"/>
            <rFont val="Calibri"/>
            <family val="2"/>
            <scheme val="minor"/>
          </rPr>
          <t>Source(year 2025) : INSEE
https://www.insee.fr/fr/statistiques/2381474</t>
        </r>
      </text>
    </comment>
    <comment ref="E2" authorId="0" shapeId="0">
      <text>
        <r>
          <rPr>
            <sz val="10"/>
            <color rgb="FF000000"/>
            <rFont val="Calibri"/>
            <family val="2"/>
            <scheme val="minor"/>
          </rPr>
          <t xml:space="preserve">Source(year 2025) : INSEE
https://www.insee.fr/fr/statistiques/2381474
Calcul : Men 18+ / Pop 18+
</t>
        </r>
      </text>
    </comment>
    <comment ref="F2" authorId="0" shapeId="0">
      <text>
        <r>
          <rPr>
            <sz val="10"/>
            <color rgb="FF000000"/>
            <rFont val="Calibri"/>
            <family val="2"/>
            <scheme val="minor"/>
          </rPr>
          <t xml:space="preserve">Source(year 2025) : INSEE
https://www.insee.fr/fr/statistiques/2381474
Calcul : WOmen 18+ / Pop 18+
</t>
        </r>
      </text>
    </comment>
    <comment ref="G2" authorId="0" shapeId="0">
      <text>
        <r>
          <rPr>
            <sz val="10"/>
            <color rgb="FF000000"/>
            <rFont val="Calibri"/>
            <family val="2"/>
            <scheme val="minor"/>
          </rPr>
          <t>Year 2025
https://www.google.com/url?q=https://www.insee.fr/fr/statistiques/2381474&amp;sa=D&amp;source=editors&amp;ust=1744280938896669&amp;usg=AOvVaw2fIDzz9EHN23_zW9_1TTtM</t>
        </r>
      </text>
    </comment>
    <comment ref="L2" authorId="0" shapeId="0">
      <text>
        <r>
          <rPr>
            <sz val="10"/>
            <color rgb="FF000000"/>
            <rFont val="Calibri"/>
            <family val="2"/>
            <scheme val="minor"/>
          </rPr>
          <t>OECD 2024
https://gpseducation.oecd.org/CountryProfile?plotter=h5&amp;primaryCountry=FRA&amp;treshold=5&amp;topic=EO</t>
        </r>
      </text>
    </comment>
    <comment ref="O2" authorId="0" shapeId="0">
      <text>
        <r>
          <rPr>
            <sz val="10"/>
            <color rgb="FF000000"/>
            <rFont val="Calibri"/>
            <family val="2"/>
            <scheme val="minor"/>
          </rPr>
          <t xml:space="preserve">2015 data - best available
https://public.opendatasoft.com/explore/dataset/correspondance-code-insee-code-postal/table/
</t>
        </r>
      </text>
    </comment>
    <comment ref="V2" authorId="0" shapeId="0">
      <text>
        <r>
          <rPr>
            <sz val="10"/>
            <color rgb="FF000000"/>
            <rFont val="Calibri"/>
            <family val="2"/>
            <scheme val="minor"/>
          </rPr>
          <t xml:space="preserve">Ile de France
Year 2025 estimate 
https://www.insee.fr/fr/statistiques/8331297
</t>
        </r>
      </text>
    </comment>
    <comment ref="W2" authorId="0" shapeId="0">
      <text>
        <r>
          <rPr>
            <sz val="10"/>
            <color rgb="FF000000"/>
            <rFont val="Calibri"/>
            <family val="2"/>
            <scheme val="minor"/>
          </rPr>
          <t xml:space="preserve">North and East
Hauts de France, Grand Est,  Bourgogne Franche-Comté
</t>
        </r>
      </text>
    </comment>
    <comment ref="X2" authorId="0" shapeId="0">
      <text>
        <r>
          <rPr>
            <sz val="10"/>
            <color rgb="FF000000"/>
            <rFont val="Calibri"/>
            <family val="2"/>
            <scheme val="minor"/>
          </rPr>
          <t>South West
Nouvelle Aquitaine, Occitanie (partie ouest)</t>
        </r>
      </text>
    </comment>
    <comment ref="Y2" authorId="0" shapeId="0">
      <text>
        <r>
          <rPr>
            <sz val="10"/>
            <color rgb="FF000000"/>
            <rFont val="Calibri"/>
            <family val="2"/>
            <scheme val="minor"/>
          </rPr>
          <t>South-East
PACA, Auvergne Rhône-Alpes, occitanie (partie est)</t>
        </r>
      </text>
    </comment>
    <comment ref="Z2" authorId="0" shapeId="0">
      <text>
        <r>
          <rPr>
            <sz val="10"/>
            <color rgb="FF000000"/>
            <rFont val="Calibri"/>
            <family val="2"/>
            <scheme val="minor"/>
          </rPr>
          <t>Other regions
Bretagne, Normandie, Centre Val de Loire, Outre mer</t>
        </r>
      </text>
    </comment>
    <comment ref="AU2" authorId="0" shapeId="0">
      <text>
        <r>
          <rPr>
            <sz val="10"/>
            <color rgb="FF000000"/>
            <rFont val="Calibri"/>
            <family val="2"/>
            <scheme val="minor"/>
          </rPr>
          <t>Age: From 25 to 64 years
Source (2023) :
 https://data-explorer.oecd.org/vis?tm=inactivity&amp;pg=0&amp;snb=17&amp;vw=tb&amp;df[ds]=dsDisseminateFinalDMZ&amp;df[id]=DSD_EAG_LSO_EA%40DF_LSO_NEAC_INAC&amp;df[ag]=OECD.EDU.IMEP&amp;df[vs]=1.0&amp;dq=FRA%2BDEU%2BITA%2BJPN%2BLVA%2BMEX%2BPOL%2BESP%2BCHE%2BGBR%2BUSA%2BOECD%2BIND%2BROU%2BZAF._T.Y25T64._T..........OBS...A&amp;lom=LASTNOBSERVATIONS&amp;lo=1&amp;pd=2020%2C2023&amp;to[TIME_PERIOD]=true</t>
        </r>
      </text>
    </comment>
    <comment ref="AV2" authorId="0" shapeId="0">
      <text>
        <r>
          <rPr>
            <sz val="10"/>
            <color rgb="FF000000"/>
            <rFont val="Calibri"/>
            <family val="2"/>
            <scheme val="minor"/>
          </rPr>
          <t>Source (2023) : 
Age:From 25 to 64 years
https://data-explorer.oecd.org/vis?lc=en&amp;df[ds]=DisseminateFinalDMZ&amp;df[id]=DSD_LFS%40DF_LFS_INDIC&amp;df[ag]=OECD.ELS.SAE&amp;df[vs]=1.1&amp;dq=..._T._T.UNE&amp;lom=LASTNPERIODS&amp;lo=5&amp;to[TIME_PERIOD]=false&amp;vw=tb</t>
        </r>
      </text>
    </comment>
    <comment ref="AW2" authorId="0" shapeId="0">
      <text>
        <r>
          <rPr>
            <sz val="10"/>
            <color rgb="FF000000"/>
            <rFont val="Calibri"/>
            <family val="2"/>
            <scheme val="minor"/>
          </rPr>
          <t xml:space="preserve">2023
https://data-explorer.oecd.org/vis?lc=en&amp;df[ds]=DisseminateFinalDMZ&amp;df[id]=DSD_LFS%40DF_LFS_INDIC&amp;df[ag]=OECD.ELS.SAE&amp;df[vs]=1.1&amp;dq=RUS%2BUSA%2BGBR%2BCHE%2BESP%2BPOL%2BJPN%2BITA%2BDEU%2BFRA..PT_POP_SUB._T.Y25T64%2B_T.EMP&amp;lom=LASTNPERIODS&amp;lo=3&amp;to[TIME_PERIOD]=false&amp;vw=tb
</t>
        </r>
      </text>
    </comment>
    <comment ref="AX2" authorId="0" shapeId="0">
      <text>
        <r>
          <rPr>
            <sz val="10"/>
            <color rgb="FF000000"/>
            <rFont val="Calibri"/>
            <family val="2"/>
            <scheme val="minor"/>
          </rPr>
          <t xml:space="preserve">Élections européennes 2024 :
(1) Turnout by year
**  https://results.elections.europa.eu/en/national-results/france/0028.png
(2) % de votes par partis nationaux :
** https://results.elections.europa.eu/en/national-results/france/2024-2029/0021.png
 Left :
Réveiller l'Europe (PS, Place Publique)
LFI (La France Insoumise)
LE - EELV (Les Écologistes - EELV)
Gauche Unie (PCF, GRS)
NPA (Nouveau Parti Anticapitaliste)
PA (Parti Animaliste) 
</t>
        </r>
      </text>
    </comment>
    <comment ref="AY2" authorId="0" shapeId="0">
      <text>
        <r>
          <rPr>
            <sz val="10"/>
            <color rgb="FF000000"/>
            <rFont val="Calibri"/>
            <family val="2"/>
            <scheme val="minor"/>
          </rPr>
          <t xml:space="preserve">Élections européennes 2024 :
</t>
        </r>
      </text>
    </comment>
    <comment ref="AZ2" authorId="0" shapeId="0">
      <text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BA2" authorId="0" shapeId="0">
      <text>
        <r>
          <rPr>
            <sz val="10"/>
            <color rgb="FF000000"/>
            <rFont val="Calibri"/>
            <family val="2"/>
            <scheme val="minor"/>
          </rPr>
          <t xml:space="preserve">Élections européennes 2024 :
</t>
        </r>
      </text>
    </comment>
    <comment ref="BB2" authorId="0" shapeId="0">
      <text>
        <r>
          <rPr>
            <sz val="10"/>
            <color rgb="FF000000"/>
            <rFont val="Calibri"/>
            <family val="2"/>
            <scheme val="minor"/>
          </rPr>
          <t xml:space="preserve">Élections européennes 2024 :
</t>
        </r>
      </text>
    </comment>
    <comment ref="BC2" authorId="0" shapeId="0">
      <text>
        <r>
          <rPr>
            <sz val="10"/>
            <color rgb="FF000000"/>
            <rFont val="Calibri"/>
            <family val="2"/>
            <scheme val="minor"/>
          </rPr>
          <t xml:space="preserve">Élections européennes 2024 :
</t>
        </r>
      </text>
    </comment>
    <comment ref="BD2" authorId="0" shapeId="0">
      <text>
        <r>
          <rPr>
            <sz val="10"/>
            <color rgb="FF000000"/>
            <rFont val="Calibri"/>
            <family val="2"/>
            <scheme val="minor"/>
          </rPr>
          <t xml:space="preserve">% Inscrits
</t>
        </r>
      </text>
    </comment>
    <comment ref="BF2" authorId="0" shapeId="0">
      <text>
        <r>
          <rPr>
            <sz val="10"/>
            <color rgb="FF000000"/>
            <rFont val="Calibri"/>
            <family val="2"/>
            <scheme val="minor"/>
          </rPr>
          <t xml:space="preserve">same definition as 2020
</t>
        </r>
      </text>
    </comment>
  </commentList>
</comments>
</file>

<file path=xl/sharedStrings.xml><?xml version="1.0" encoding="utf-8"?>
<sst xmlns="http://schemas.openxmlformats.org/spreadsheetml/2006/main" count="302" uniqueCount="184">
  <si>
    <t>Country</t>
  </si>
  <si>
    <t>US</t>
  </si>
  <si>
    <t>DE</t>
  </si>
  <si>
    <t>IT</t>
  </si>
  <si>
    <t>PL</t>
  </si>
  <si>
    <t>JP</t>
  </si>
  <si>
    <t>FR</t>
  </si>
  <si>
    <t>ES</t>
  </si>
  <si>
    <t>GB</t>
  </si>
  <si>
    <t>CH</t>
  </si>
  <si>
    <t>RU</t>
  </si>
  <si>
    <t>SA</t>
  </si>
  <si>
    <t>country</t>
  </si>
  <si>
    <t>periodicity</t>
  </si>
  <si>
    <t>Sample</t>
  </si>
  <si>
    <t>women</t>
  </si>
  <si>
    <t>men</t>
  </si>
  <si>
    <t>18-24</t>
  </si>
  <si>
    <t>25-34</t>
  </si>
  <si>
    <t>35-49</t>
  </si>
  <si>
    <t>50-64</t>
  </si>
  <si>
    <t>Below upper secondary 25-64 0-2</t>
  </si>
  <si>
    <t>Upper secondary 25-64 3</t>
  </si>
  <si>
    <t>Above Upper secondary 25-64 4-8</t>
  </si>
  <si>
    <t>Cities</t>
  </si>
  <si>
    <t>Towns and suburbs</t>
  </si>
  <si>
    <t>Rural</t>
  </si>
  <si>
    <t>White non Hispanic</t>
  </si>
  <si>
    <t>Hispanic</t>
  </si>
  <si>
    <t>Black</t>
  </si>
  <si>
    <t>Other</t>
  </si>
  <si>
    <t>Below upper secondary 25-64</t>
  </si>
  <si>
    <t>Upper secondary 25-64</t>
  </si>
  <si>
    <t>Above Upper secondary 25-64</t>
  </si>
  <si>
    <t>Region 1</t>
  </si>
  <si>
    <t>Region 2</t>
  </si>
  <si>
    <t>Region 3</t>
  </si>
  <si>
    <t>Region 4</t>
  </si>
  <si>
    <t>Region 5</t>
  </si>
  <si>
    <t>Inactivity</t>
  </si>
  <si>
    <t>Unemployment</t>
  </si>
  <si>
    <t>Left</t>
  </si>
  <si>
    <t>Center-right or Right</t>
  </si>
  <si>
    <t>Far right</t>
  </si>
  <si>
    <t>Abstention</t>
  </si>
  <si>
    <t>Source</t>
  </si>
  <si>
    <t>Source alternative</t>
  </si>
  <si>
    <t>https://ec.europa.eu/eurostat/web/degree-of-urbanisation/statistics-illustrated</t>
  </si>
  <si>
    <t>fr20</t>
  </si>
  <si>
    <t>de20</t>
  </si>
  <si>
    <t>it20</t>
  </si>
  <si>
    <t>pl20</t>
  </si>
  <si>
    <t>es22</t>
  </si>
  <si>
    <t>uk21</t>
  </si>
  <si>
    <t>ch19</t>
  </si>
  <si>
    <t>jp20</t>
  </si>
  <si>
    <t>ru22</t>
  </si>
  <si>
    <t>us23</t>
  </si>
  <si>
    <t>0.1</t>
  </si>
  <si>
    <t>0.2</t>
  </si>
  <si>
    <t>0.25</t>
  </si>
  <si>
    <t>0.3</t>
  </si>
  <si>
    <t>0.4</t>
  </si>
  <si>
    <t>0.5</t>
  </si>
  <si>
    <t>0.6</t>
  </si>
  <si>
    <t>0.7</t>
  </si>
  <si>
    <t>0.75</t>
  </si>
  <si>
    <t>0.8</t>
  </si>
  <si>
    <t>0.9</t>
  </si>
  <si>
    <t>au18</t>
  </si>
  <si>
    <t>at21</t>
  </si>
  <si>
    <t>be21</t>
  </si>
  <si>
    <t>br22</t>
  </si>
  <si>
    <t>cn18</t>
  </si>
  <si>
    <t>co23</t>
  </si>
  <si>
    <t>dk22</t>
  </si>
  <si>
    <t>kr21</t>
  </si>
  <si>
    <t>ie21</t>
  </si>
  <si>
    <t>il21</t>
  </si>
  <si>
    <t>lt21</t>
  </si>
  <si>
    <t>lu21</t>
  </si>
  <si>
    <t>ml20</t>
  </si>
  <si>
    <t>mx22</t>
  </si>
  <si>
    <t>nl21</t>
  </si>
  <si>
    <t>no21</t>
  </si>
  <si>
    <t>pe21</t>
  </si>
  <si>
    <t>ro21</t>
  </si>
  <si>
    <t>rs22</t>
  </si>
  <si>
    <t>se21</t>
  </si>
  <si>
    <t>tw21</t>
  </si>
  <si>
    <t>uy22</t>
  </si>
  <si>
    <t>za17</t>
  </si>
  <si>
    <t>sa</t>
  </si>
  <si>
    <t>GNI pc 2023, current LCU (https://data.worldbank.org/indicator/NY.GNP.PCAP.CN?end=2023&amp;locations=GB-CH-JP-RU-US&amp;start=2019, 02/14/2025)</t>
  </si>
  <si>
    <t>GNI pc LIS_year, current LCU (https://data.worldbank.org/indicator/NY.GNP.PCAP.CN?end=2023&amp;locations=GB-CH-JP-RU-US&amp;start=2019, 02/14/2025)</t>
  </si>
  <si>
    <t>GDP pc 2023, current $ (https://www.imf.org/external/datamapper/NGDPDPC@WEO/FRA/DEU/POL/RUS/ESP/CHE/GBR/USA/ITA/SAU/JPN, 02/14/2025)</t>
  </si>
  <si>
    <t>GDP pc 2024, current $ (https://www.imf.org/external/datamapper/NGDPDPC@WEO/FRA/DEU/POL/RUS/ESP/CHE/GBR/USA/ITA/SAU/JPN, 02/14/2025)</t>
  </si>
  <si>
    <t>LCU/$ 2023, https://www.irs.gov/individuals/international-taxpayers/yearly-average-currency-exchange-rates and PL: https://www.ofx.com/en-ie/forex-news/historical-exchange-rates/yearly-average-rates/ (02/14/2025)</t>
  </si>
  <si>
    <t>LCU/$ 2024, https://www.irs.gov/individuals/international-taxpayers/yearly-average-currency-exchange-rates and PL: https://www.ofx.com/en-ie/forex-news/historical-exchange-rates/yearly-average-rates/ (02/14/2025)</t>
  </si>
  <si>
    <t>GNI pc 2024 over 2023, current LCU (own estimate)</t>
  </si>
  <si>
    <t>GNI pc 2023 over LIS_year, current LCU (own estimate)</t>
  </si>
  <si>
    <t>2024 individualized income</t>
  </si>
  <si>
    <t>GNI pc 2024 over LIS_year current LCU (own estimate)</t>
  </si>
  <si>
    <t>LIS total income (equivalised LCU, 02/14/2025, cf. data/LIS_income_deciles.txt)</t>
  </si>
  <si>
    <t>LIS disposable cash income (equivalised LCU, 02/14/2025, cf. data/LIS_income_deciles.txt)</t>
  </si>
  <si>
    <t>Eurostat disposable income (equivalised LCU, https://ec.europa.eu/eurostat/databrowser/view/ilc_di01/default/table?lang=en&amp;category=livcon.ilc.ilc_ip.ilc_di, 02/13/2025)</t>
  </si>
  <si>
    <t>FR23</t>
  </si>
  <si>
    <t>DE24</t>
  </si>
  <si>
    <t>IT23</t>
  </si>
  <si>
    <t>PL23</t>
  </si>
  <si>
    <t>CH23</t>
  </si>
  <si>
    <t>KR</t>
  </si>
  <si>
    <t>CA</t>
  </si>
  <si>
    <t>WID pretax income 2023 LCUcst tptinc_992_j (https://wid.world/data, 02/13/2025)</t>
  </si>
  <si>
    <t>WID 2023 pretax inflated, equal-split</t>
  </si>
  <si>
    <t>Eurostat 2023 disposable inflated, equivalised</t>
  </si>
  <si>
    <t>Eurostat 2024 disposable inflated, equivalised</t>
  </si>
  <si>
    <t>Eurostat 2023 inflated, equivalised</t>
  </si>
  <si>
    <t>LIS 2021 total income inflated, equivalised</t>
  </si>
  <si>
    <t>LIS 2019 total income inflated, equivalised</t>
  </si>
  <si>
    <t>LIS 2020 total income inflated, equivalised</t>
  </si>
  <si>
    <t>ES24</t>
  </si>
  <si>
    <t>US23</t>
  </si>
  <si>
    <t>US Census 2023 Total income per household (https://www.census.gov/data/tables/time-series/demo/income-poverty/cps-hinc/hinc-06.html)</t>
  </si>
  <si>
    <t>US Census 2023 total income, inflated, household-level</t>
  </si>
  <si>
    <t>round_at</t>
  </si>
  <si>
    <t>RU23</t>
  </si>
  <si>
    <t>Outdated Cities</t>
  </si>
  <si>
    <t>Outdated Towns and suburbs</t>
  </si>
  <si>
    <t>Outdated Rural</t>
  </si>
  <si>
    <t>Inactivity 25-64</t>
  </si>
  <si>
    <t>Unemployment 25-64</t>
  </si>
  <si>
    <t>Employment 25-64</t>
  </si>
  <si>
    <t>Employment %</t>
  </si>
  <si>
    <t>DEGURBA</t>
  </si>
  <si>
    <t>Adult pop</t>
  </si>
  <si>
    <t>Q1 Income</t>
  </si>
  <si>
    <t>Q2 Income</t>
  </si>
  <si>
    <t>Q3 Income</t>
  </si>
  <si>
    <t>Q4 Income</t>
  </si>
  <si>
    <t>Share Eu/EU</t>
  </si>
  <si>
    <t>Rosstat hh cash disposable income of the household (not equivalised</t>
  </si>
  <si>
    <t>Rosstat 2023 cash disposable inflated, household (not equivalised)</t>
  </si>
  <si>
    <t>RU monthly</t>
  </si>
  <si>
    <t>RU rounded monthly</t>
  </si>
  <si>
    <t>party</t>
  </si>
  <si>
    <t>major</t>
  </si>
  <si>
    <t>leaning</t>
  </si>
  <si>
    <t>group</t>
  </si>
  <si>
    <t>share</t>
  </si>
  <si>
    <t>PPE</t>
  </si>
  <si>
    <t>S&amp;D</t>
  </si>
  <si>
    <t>PfE</t>
  </si>
  <si>
    <t>Renew</t>
  </si>
  <si>
    <t>Greens</t>
  </si>
  <si>
    <t>ESN</t>
  </si>
  <si>
    <t>NI</t>
  </si>
  <si>
    <t>Rassemblement National</t>
  </si>
  <si>
    <t>Renaissance, MoDem &amp; Horizons</t>
  </si>
  <si>
    <t>Parti Socaliste &amp; Place publique</t>
  </si>
  <si>
    <t>La France insoumise</t>
  </si>
  <si>
    <t>Les Républicains</t>
  </si>
  <si>
    <t>Les Écologistes – EÉLV</t>
  </si>
  <si>
    <t>Reconquête</t>
  </si>
  <si>
    <t>Parti Communiste Français</t>
  </si>
  <si>
    <t>Résistons (Jean Lassalle)</t>
  </si>
  <si>
    <t>Parti animaliste</t>
  </si>
  <si>
    <t>source</t>
  </si>
  <si>
    <t>comments</t>
  </si>
  <si>
    <t>https://results.elections.europa.eu/fr/apercu-des-resultats-nationaux/</t>
  </si>
  <si>
    <t>Besoin d'Europe</t>
  </si>
  <si>
    <t>Réveiller l'Europe</t>
  </si>
  <si>
    <t>La France fière</t>
  </si>
  <si>
    <t>Gauche Unie</t>
  </si>
  <si>
    <t>Alliance rurale</t>
  </si>
  <si>
    <t>Other ; L'Europe ça suffit ; UPR (Union Populaire Républicaine); NPA (Nouveau Parti Anticapitaliste)</t>
  </si>
  <si>
    <t>Left_among_voters</t>
  </si>
  <si>
    <t>Center-right or Right_among_voters</t>
  </si>
  <si>
    <t>Far right_among_voters</t>
  </si>
  <si>
    <t>Vote_other</t>
  </si>
  <si>
    <t>Grand pôle</t>
  </si>
  <si>
    <t>Couronne GP</t>
  </si>
  <si>
    <t>Autre</t>
  </si>
  <si>
    <t>65+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</si>
</sst>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1" fontId="0" fillId="0" borderId="0" xfId="0" applyNumberFormat="1"/>
    <xf numFmtId="1" fontId="0" fillId="0" borderId="0" xfId="0" applyNumberFormat="1" applyFont="1"/>
    <xf numFmtId="2" fontId="0" fillId="0" borderId="0" xfId="0" applyNumberFormat="1"/>
    <xf numFmtId="164" fontId="0" fillId="0" borderId="0" xfId="0" applyNumberFormat="1" applyFont="1"/>
    <xf numFmtId="2" fontId="0" fillId="0" borderId="0" xfId="0" applyNumberFormat="1" applyFont="1"/>
    <xf numFmtId="0" fontId="1" fillId="0" borderId="0" xfId="0" applyFont="1" applyAlignment="1"/>
    <xf numFmtId="0" fontId="0" fillId="0" borderId="0" xfId="0" applyFont="1" applyAlignment="1"/>
    <xf numFmtId="1" fontId="0" fillId="0" borderId="0" xfId="0" applyNumberFormat="1" applyFont="1" applyAlignment="1"/>
    <xf numFmtId="0" fontId="1" fillId="0" borderId="0" xfId="0" applyFont="1" applyAlignment="1">
      <alignment wrapText="1"/>
    </xf>
    <xf numFmtId="0" fontId="0" fillId="0" borderId="0" xfId="0" applyAlignment="1"/>
    <xf numFmtId="1" fontId="3" fillId="0" borderId="0" xfId="0" applyNumberFormat="1" applyFont="1" applyAlignment="1">
      <alignment horizontal="right"/>
    </xf>
    <xf numFmtId="1" fontId="3" fillId="0" borderId="0" xfId="0" applyNumberFormat="1" applyFont="1" applyAlignment="1"/>
    <xf numFmtId="1" fontId="4" fillId="0" borderId="0" xfId="0" applyNumberFormat="1" applyFont="1" applyAlignment="1">
      <alignment horizontal="right"/>
    </xf>
    <xf numFmtId="0" fontId="3" fillId="0" borderId="0" xfId="0" applyFont="1" applyAlignment="1"/>
    <xf numFmtId="0" fontId="5" fillId="0" borderId="0" xfId="0" applyFont="1" applyAlignment="1">
      <alignment horizontal="right"/>
    </xf>
    <xf numFmtId="9" fontId="3" fillId="2" borderId="0" xfId="0" applyNumberFormat="1" applyFont="1" applyFill="1" applyAlignment="1">
      <alignment horizontal="right"/>
    </xf>
    <xf numFmtId="0" fontId="4" fillId="0" borderId="0" xfId="0" applyFont="1" applyAlignment="1">
      <alignment horizontal="right"/>
    </xf>
    <xf numFmtId="1" fontId="3" fillId="2" borderId="0" xfId="0" applyNumberFormat="1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5" fillId="0" borderId="0" xfId="0" applyFont="1" applyAlignment="1"/>
    <xf numFmtId="1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" fontId="7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L9"/>
  <sheetViews>
    <sheetView tabSelected="1" zoomScaleNormal="100" workbookViewId="0">
      <pane ySplit="1" topLeftCell="A2" activePane="bottomLeft" state="frozen"/>
      <selection pane="bottomLeft" activeCell="R1" sqref="R1"/>
    </sheetView>
  </sheetViews>
  <sheetFormatPr baseColWidth="10" defaultRowHeight="15" x14ac:dyDescent="0.25"/>
  <cols>
    <col min="1" max="1" width="5.42578125" customWidth="1"/>
    <col min="2" max="2" width="7" customWidth="1"/>
    <col min="3" max="3" width="5.7109375" customWidth="1"/>
    <col min="4" max="4" width="5" customWidth="1"/>
    <col min="5" max="6" width="5.28515625" customWidth="1"/>
    <col min="7" max="7" width="5.140625" customWidth="1"/>
    <col min="8" max="8" width="5" customWidth="1"/>
    <col min="9" max="9" width="5.140625" customWidth="1"/>
    <col min="10" max="11" width="5.42578125" customWidth="1"/>
    <col min="12" max="12" width="4.85546875" customWidth="1"/>
    <col min="13" max="13" width="5.85546875" customWidth="1"/>
    <col min="14" max="14" width="5.28515625" customWidth="1"/>
    <col min="15" max="15" width="5.42578125" customWidth="1"/>
    <col min="16" max="16" width="5.5703125" customWidth="1"/>
    <col min="17" max="17" width="5.140625" customWidth="1"/>
    <col min="18" max="19" width="5" customWidth="1"/>
    <col min="20" max="20" width="4.5703125" customWidth="1"/>
    <col min="21" max="21" width="5.85546875" customWidth="1"/>
    <col min="22" max="22" width="4.5703125" customWidth="1"/>
    <col min="23" max="23" width="5.28515625" customWidth="1"/>
    <col min="24" max="25" width="4.5703125" customWidth="1"/>
    <col min="26" max="26" width="4.85546875" customWidth="1"/>
    <col min="27" max="28" width="5.140625" customWidth="1"/>
    <col min="29" max="29" width="5.7109375" customWidth="1"/>
    <col min="30" max="30" width="6.7109375" customWidth="1"/>
    <col min="31" max="31" width="5.5703125" customWidth="1"/>
    <col min="32" max="32" width="8.5703125" customWidth="1"/>
    <col min="33" max="33" width="8.42578125" customWidth="1"/>
    <col min="34" max="35" width="8.28515625" customWidth="1"/>
    <col min="36" max="36" width="8.42578125" customWidth="1"/>
    <col min="37" max="37" width="5" customWidth="1"/>
    <col min="38" max="39" width="6.140625" customWidth="1"/>
    <col min="40" max="40" width="6.5703125" customWidth="1"/>
    <col min="41" max="42" width="6.42578125" customWidth="1"/>
    <col min="43" max="43" width="7.28515625" customWidth="1"/>
    <col min="44" max="44" width="6.85546875" customWidth="1"/>
    <col min="45" max="45" width="7.140625" customWidth="1"/>
    <col min="46" max="47" width="10.42578125" customWidth="1"/>
  </cols>
  <sheetData>
    <row r="1" spans="1:64" s="11" customFormat="1" ht="42.75" customHeight="1" x14ac:dyDescent="0.25">
      <c r="A1" s="10" t="s">
        <v>0</v>
      </c>
      <c r="B1" s="10" t="s">
        <v>135</v>
      </c>
      <c r="C1" s="10" t="s">
        <v>140</v>
      </c>
      <c r="D1" s="7" t="s">
        <v>14</v>
      </c>
      <c r="E1" s="7" t="s">
        <v>16</v>
      </c>
      <c r="F1" s="7" t="s">
        <v>15</v>
      </c>
      <c r="G1" s="7" t="s">
        <v>17</v>
      </c>
      <c r="H1" s="7" t="s">
        <v>18</v>
      </c>
      <c r="I1" s="7" t="s">
        <v>19</v>
      </c>
      <c r="J1" s="7" t="s">
        <v>20</v>
      </c>
      <c r="K1" s="7" t="s">
        <v>183</v>
      </c>
      <c r="L1" s="7" t="s">
        <v>21</v>
      </c>
      <c r="M1" s="7" t="s">
        <v>22</v>
      </c>
      <c r="N1" s="7" t="s">
        <v>23</v>
      </c>
      <c r="O1" s="7" t="s">
        <v>24</v>
      </c>
      <c r="P1" s="7" t="s">
        <v>26</v>
      </c>
      <c r="Q1" s="7" t="s">
        <v>25</v>
      </c>
      <c r="R1" s="7" t="s">
        <v>136</v>
      </c>
      <c r="S1" s="7" t="s">
        <v>137</v>
      </c>
      <c r="T1" s="7" t="s">
        <v>138</v>
      </c>
      <c r="U1" s="7" t="s">
        <v>139</v>
      </c>
      <c r="V1" s="7" t="s">
        <v>34</v>
      </c>
      <c r="W1" s="7" t="s">
        <v>35</v>
      </c>
      <c r="X1" s="7" t="s">
        <v>36</v>
      </c>
      <c r="Y1" s="7" t="s">
        <v>37</v>
      </c>
      <c r="Z1" s="7" t="s">
        <v>38</v>
      </c>
      <c r="AA1" s="7" t="s">
        <v>27</v>
      </c>
      <c r="AB1" s="7" t="s">
        <v>28</v>
      </c>
      <c r="AC1" s="7" t="s">
        <v>29</v>
      </c>
      <c r="AD1" s="7" t="s">
        <v>30</v>
      </c>
      <c r="AE1" s="7" t="s">
        <v>6</v>
      </c>
      <c r="AF1" s="7" t="s">
        <v>2</v>
      </c>
      <c r="AG1" s="7" t="s">
        <v>3</v>
      </c>
      <c r="AH1" s="7" t="s">
        <v>4</v>
      </c>
      <c r="AI1" s="7" t="s">
        <v>7</v>
      </c>
      <c r="AJ1" s="7" t="s">
        <v>8</v>
      </c>
      <c r="AK1" s="7" t="s">
        <v>9</v>
      </c>
      <c r="AL1" s="7" t="s">
        <v>31</v>
      </c>
      <c r="AM1" s="7" t="s">
        <v>32</v>
      </c>
      <c r="AN1" s="7" t="s">
        <v>33</v>
      </c>
      <c r="AO1" s="7" t="s">
        <v>127</v>
      </c>
      <c r="AP1" s="7" t="s">
        <v>128</v>
      </c>
      <c r="AQ1" s="7" t="s">
        <v>129</v>
      </c>
      <c r="AR1" s="7" t="s">
        <v>130</v>
      </c>
      <c r="AS1" s="7" t="s">
        <v>131</v>
      </c>
      <c r="AT1" s="7" t="s">
        <v>132</v>
      </c>
      <c r="AU1" s="7" t="s">
        <v>39</v>
      </c>
      <c r="AV1" s="7" t="s">
        <v>40</v>
      </c>
      <c r="AW1" s="7" t="s">
        <v>133</v>
      </c>
      <c r="AX1" s="7" t="s">
        <v>176</v>
      </c>
      <c r="AY1" s="7" t="s">
        <v>177</v>
      </c>
      <c r="AZ1" s="11" t="s">
        <v>178</v>
      </c>
      <c r="BA1" s="11" t="s">
        <v>41</v>
      </c>
      <c r="BB1" s="11" t="s">
        <v>42</v>
      </c>
      <c r="BC1" s="11" t="s">
        <v>43</v>
      </c>
      <c r="BD1" s="11" t="s">
        <v>44</v>
      </c>
      <c r="BE1" s="11" t="s">
        <v>179</v>
      </c>
      <c r="BF1" s="11" t="s">
        <v>45</v>
      </c>
      <c r="BG1" s="11" t="s">
        <v>46</v>
      </c>
      <c r="BI1" s="11" t="s">
        <v>134</v>
      </c>
    </row>
    <row r="2" spans="1:64" s="8" customFormat="1" x14ac:dyDescent="0.25">
      <c r="A2" s="15" t="s">
        <v>6</v>
      </c>
      <c r="B2" s="16">
        <v>54585</v>
      </c>
      <c r="C2" s="17"/>
      <c r="D2" s="2">
        <v>798</v>
      </c>
      <c r="E2" s="16">
        <v>478</v>
      </c>
      <c r="F2" s="16">
        <v>522</v>
      </c>
      <c r="G2" s="18">
        <v>104</v>
      </c>
      <c r="H2" s="18">
        <v>146</v>
      </c>
      <c r="I2" s="18">
        <v>235</v>
      </c>
      <c r="J2" s="18">
        <v>242</v>
      </c>
      <c r="K2" s="18">
        <v>273</v>
      </c>
      <c r="L2" s="19">
        <f>AL2*SUM($H2:$J2)/100</f>
        <v>101.54899999999999</v>
      </c>
      <c r="M2" s="19">
        <f>AM2*SUM($H2:$J2)/100</f>
        <v>256.67600000000004</v>
      </c>
      <c r="N2" s="19">
        <f>AN2*SUM($H2:$J2)/100</f>
        <v>264.15199999999999</v>
      </c>
      <c r="O2" s="20">
        <v>465</v>
      </c>
      <c r="P2" s="20">
        <v>341</v>
      </c>
      <c r="Q2" s="20">
        <v>194</v>
      </c>
      <c r="R2" s="13">
        <v>250</v>
      </c>
      <c r="S2" s="13">
        <v>250</v>
      </c>
      <c r="T2" s="13">
        <v>250</v>
      </c>
      <c r="U2" s="13">
        <v>250</v>
      </c>
      <c r="V2" s="21">
        <v>182</v>
      </c>
      <c r="W2" s="21">
        <v>222</v>
      </c>
      <c r="X2" s="21">
        <v>107</v>
      </c>
      <c r="Y2" s="21">
        <v>210</v>
      </c>
      <c r="Z2" s="21">
        <v>279</v>
      </c>
      <c r="AA2" s="13"/>
      <c r="AB2" s="13"/>
      <c r="AC2" s="13"/>
      <c r="AD2" s="13"/>
      <c r="AE2" s="13"/>
      <c r="AF2" s="13"/>
      <c r="AG2" s="13"/>
      <c r="AH2" s="15"/>
      <c r="AI2" s="15"/>
      <c r="AJ2" s="15"/>
      <c r="AK2" s="12"/>
      <c r="AL2" s="12">
        <v>16.3</v>
      </c>
      <c r="AM2" s="12">
        <v>41.2</v>
      </c>
      <c r="AN2" s="12">
        <v>42.4</v>
      </c>
      <c r="AO2" s="18">
        <v>595</v>
      </c>
      <c r="AP2" s="18">
        <v>184</v>
      </c>
      <c r="AQ2" s="18">
        <v>222</v>
      </c>
      <c r="AR2" s="22">
        <f>SUM($H$2:$J$2)*AU2/100</f>
        <v>115.87800000000001</v>
      </c>
      <c r="AS2" s="22">
        <f>SUM($H$2:$J$2)*AV2*(100-AU2)/10000</f>
        <v>31.441564</v>
      </c>
      <c r="AT2" s="22">
        <f>SUM($H$2:$J$2)*AW2/100</f>
        <v>475.97200000000004</v>
      </c>
      <c r="AU2" s="23">
        <v>18.600000000000001</v>
      </c>
      <c r="AV2" s="23">
        <v>6.2</v>
      </c>
      <c r="AW2" s="18">
        <v>76.400000000000006</v>
      </c>
      <c r="AX2" s="24">
        <v>335.79999999999995</v>
      </c>
      <c r="AY2" s="24">
        <v>242.00000000000003</v>
      </c>
      <c r="AZ2" s="24">
        <v>368.40000000000003</v>
      </c>
      <c r="BA2" s="24">
        <v>172.90342000000001</v>
      </c>
      <c r="BB2" s="24">
        <v>124.60580000000002</v>
      </c>
      <c r="BC2" s="24">
        <v>189.68916000000002</v>
      </c>
      <c r="BD2" s="14">
        <v>485.09999999999997</v>
      </c>
      <c r="BE2" s="13">
        <f t="shared" ref="BE2" si="0">1000-SUM(BA2:BD2)</f>
        <v>27.701620000000048</v>
      </c>
      <c r="BF2" s="15" t="s">
        <v>180</v>
      </c>
      <c r="BG2" s="15" t="s">
        <v>181</v>
      </c>
      <c r="BH2" s="15" t="s">
        <v>182</v>
      </c>
      <c r="BI2" s="15" t="s">
        <v>47</v>
      </c>
      <c r="BJ2" s="15"/>
      <c r="BK2" s="15"/>
      <c r="BL2" s="15"/>
    </row>
    <row r="6" spans="1:64" x14ac:dyDescent="0.25"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64" x14ac:dyDescent="0.25">
      <c r="M7" s="9"/>
      <c r="N7" s="9"/>
      <c r="O7" s="9"/>
      <c r="P7" s="9"/>
      <c r="Q7" s="9"/>
      <c r="R7" s="9"/>
      <c r="S7" s="9"/>
      <c r="T7" s="9"/>
      <c r="U7" s="2"/>
      <c r="V7" s="3"/>
      <c r="W7" s="9"/>
    </row>
    <row r="8" spans="1:64" x14ac:dyDescent="0.25">
      <c r="M8" s="3"/>
      <c r="N8" s="3"/>
      <c r="O8" s="3"/>
      <c r="P8" s="3"/>
      <c r="Q8" s="3"/>
      <c r="R8" s="3"/>
      <c r="S8" s="3"/>
      <c r="T8" s="3"/>
      <c r="U8" s="2"/>
      <c r="V8" s="3"/>
      <c r="W8" s="3"/>
    </row>
    <row r="9" spans="1:64" x14ac:dyDescent="0.25">
      <c r="M9" s="3"/>
      <c r="N9" s="3"/>
      <c r="O9" s="3"/>
      <c r="P9" s="3"/>
      <c r="Q9" s="3"/>
      <c r="R9" s="3"/>
      <c r="S9" s="3"/>
      <c r="T9" s="3"/>
      <c r="U9" s="2"/>
      <c r="V9" s="3"/>
      <c r="W9" s="3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I8" sqref="I8"/>
    </sheetView>
  </sheetViews>
  <sheetFormatPr baseColWidth="10" defaultRowHeight="15" x14ac:dyDescent="0.25"/>
  <cols>
    <col min="2" max="2" width="19" customWidth="1"/>
  </cols>
  <sheetData>
    <row r="1" spans="1:8" x14ac:dyDescent="0.25">
      <c r="A1" t="s">
        <v>12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167</v>
      </c>
      <c r="H1" t="s">
        <v>168</v>
      </c>
    </row>
    <row r="2" spans="1:8" x14ac:dyDescent="0.25">
      <c r="A2" t="s">
        <v>6</v>
      </c>
      <c r="B2" t="s">
        <v>44</v>
      </c>
      <c r="F2">
        <v>48.51</v>
      </c>
    </row>
    <row r="3" spans="1:8" x14ac:dyDescent="0.25">
      <c r="A3" t="s">
        <v>6</v>
      </c>
      <c r="B3" t="s">
        <v>157</v>
      </c>
      <c r="C3">
        <v>1</v>
      </c>
      <c r="D3">
        <v>2</v>
      </c>
      <c r="E3" t="s">
        <v>152</v>
      </c>
      <c r="F3">
        <v>31.37</v>
      </c>
      <c r="G3" t="s">
        <v>169</v>
      </c>
    </row>
    <row r="4" spans="1:8" x14ac:dyDescent="0.25">
      <c r="A4" t="s">
        <v>6</v>
      </c>
      <c r="B4" t="s">
        <v>158</v>
      </c>
      <c r="C4">
        <v>1</v>
      </c>
      <c r="D4">
        <v>1</v>
      </c>
      <c r="E4" t="s">
        <v>153</v>
      </c>
      <c r="F4">
        <v>14.6</v>
      </c>
      <c r="H4" t="s">
        <v>170</v>
      </c>
    </row>
    <row r="5" spans="1:8" x14ac:dyDescent="0.25">
      <c r="A5" t="s">
        <v>6</v>
      </c>
      <c r="B5" t="s">
        <v>159</v>
      </c>
      <c r="C5">
        <v>1</v>
      </c>
      <c r="D5">
        <v>0</v>
      </c>
      <c r="E5" t="s">
        <v>151</v>
      </c>
      <c r="F5">
        <v>13.83</v>
      </c>
      <c r="H5" t="s">
        <v>171</v>
      </c>
    </row>
    <row r="6" spans="1:8" x14ac:dyDescent="0.25">
      <c r="A6" t="s">
        <v>6</v>
      </c>
      <c r="B6" t="s">
        <v>160</v>
      </c>
      <c r="C6">
        <v>1</v>
      </c>
      <c r="D6">
        <v>0</v>
      </c>
      <c r="E6" t="s">
        <v>41</v>
      </c>
      <c r="F6">
        <v>9.89</v>
      </c>
    </row>
    <row r="7" spans="1:8" x14ac:dyDescent="0.25">
      <c r="A7" t="s">
        <v>6</v>
      </c>
      <c r="B7" t="s">
        <v>161</v>
      </c>
      <c r="C7">
        <v>1</v>
      </c>
      <c r="D7">
        <v>1</v>
      </c>
      <c r="E7" t="s">
        <v>150</v>
      </c>
      <c r="F7">
        <v>7.25</v>
      </c>
    </row>
    <row r="8" spans="1:8" x14ac:dyDescent="0.25">
      <c r="A8" t="s">
        <v>6</v>
      </c>
      <c r="B8" t="s">
        <v>162</v>
      </c>
      <c r="C8">
        <v>1</v>
      </c>
      <c r="D8">
        <v>0</v>
      </c>
      <c r="E8" t="s">
        <v>154</v>
      </c>
      <c r="F8">
        <v>5.5</v>
      </c>
    </row>
    <row r="9" spans="1:8" x14ac:dyDescent="0.25">
      <c r="A9" t="s">
        <v>6</v>
      </c>
      <c r="B9" t="s">
        <v>163</v>
      </c>
      <c r="C9">
        <v>1</v>
      </c>
      <c r="D9">
        <v>2</v>
      </c>
      <c r="E9" t="s">
        <v>155</v>
      </c>
      <c r="F9">
        <v>5.47</v>
      </c>
      <c r="H9" t="s">
        <v>172</v>
      </c>
    </row>
    <row r="10" spans="1:8" x14ac:dyDescent="0.25">
      <c r="A10" t="s">
        <v>6</v>
      </c>
      <c r="B10" t="s">
        <v>164</v>
      </c>
      <c r="C10">
        <v>0</v>
      </c>
      <c r="D10">
        <v>0</v>
      </c>
      <c r="E10" t="s">
        <v>41</v>
      </c>
      <c r="F10">
        <v>2.36</v>
      </c>
      <c r="H10" t="s">
        <v>173</v>
      </c>
    </row>
    <row r="11" spans="1:8" x14ac:dyDescent="0.25">
      <c r="A11" t="s">
        <v>6</v>
      </c>
      <c r="B11" t="s">
        <v>165</v>
      </c>
      <c r="C11">
        <v>0</v>
      </c>
      <c r="D11">
        <v>1</v>
      </c>
      <c r="E11" t="s">
        <v>156</v>
      </c>
      <c r="F11">
        <v>2.35</v>
      </c>
      <c r="H11" t="s">
        <v>174</v>
      </c>
    </row>
    <row r="12" spans="1:8" x14ac:dyDescent="0.25">
      <c r="A12" t="s">
        <v>6</v>
      </c>
      <c r="B12" t="s">
        <v>166</v>
      </c>
      <c r="C12">
        <v>0</v>
      </c>
      <c r="D12">
        <v>0</v>
      </c>
      <c r="E12" t="s">
        <v>156</v>
      </c>
      <c r="F12">
        <v>2</v>
      </c>
    </row>
    <row r="13" spans="1:8" x14ac:dyDescent="0.25">
      <c r="A13" t="s">
        <v>6</v>
      </c>
      <c r="B13" t="s">
        <v>30</v>
      </c>
      <c r="C13">
        <v>1</v>
      </c>
      <c r="E13" t="s">
        <v>156</v>
      </c>
      <c r="F13">
        <v>5.38</v>
      </c>
      <c r="H13" t="s">
        <v>175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80"/>
  <sheetViews>
    <sheetView zoomScale="110" zoomScaleNormal="110" workbookViewId="0">
      <selection activeCell="I13" sqref="I13"/>
    </sheetView>
  </sheetViews>
  <sheetFormatPr baseColWidth="10" defaultRowHeight="15" x14ac:dyDescent="0.25"/>
  <cols>
    <col min="1" max="1" width="30.5703125" customWidth="1"/>
    <col min="10" max="10" width="11.5703125" customWidth="1"/>
  </cols>
  <sheetData>
    <row r="1" spans="1:17" x14ac:dyDescent="0.25">
      <c r="A1" t="s">
        <v>101</v>
      </c>
      <c r="B1" s="1" t="s">
        <v>6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9</v>
      </c>
      <c r="I1" s="1" t="s">
        <v>5</v>
      </c>
      <c r="J1" s="1" t="s">
        <v>10</v>
      </c>
      <c r="K1" s="1" t="s">
        <v>11</v>
      </c>
      <c r="L1" s="1" t="s">
        <v>1</v>
      </c>
      <c r="M1" s="1" t="s">
        <v>143</v>
      </c>
      <c r="N1" s="1" t="s">
        <v>144</v>
      </c>
    </row>
    <row r="2" spans="1:17" x14ac:dyDescent="0.25">
      <c r="A2" t="s">
        <v>58</v>
      </c>
      <c r="B2" s="2">
        <f t="shared" ref="B2:B12" si="0">B57*B$26</f>
        <v>12997.222414165408</v>
      </c>
      <c r="C2" s="2">
        <f>C57</f>
        <v>14190</v>
      </c>
      <c r="D2" s="2">
        <f t="shared" ref="D2:E12" si="1">D57*D$26</f>
        <v>9588.6275314022023</v>
      </c>
      <c r="E2" s="2">
        <f t="shared" si="1"/>
        <v>25323.510098041897</v>
      </c>
      <c r="F2" s="2">
        <f>F57</f>
        <v>8391</v>
      </c>
      <c r="G2" s="2">
        <f t="shared" ref="G2:I12" si="2">G31*G$28</f>
        <v>13693.28097164294</v>
      </c>
      <c r="H2" s="2">
        <f t="shared" si="2"/>
        <v>40271.256418955687</v>
      </c>
      <c r="I2" s="2">
        <f t="shared" si="2"/>
        <v>1501467.1169903141</v>
      </c>
      <c r="J2" s="2">
        <f>J57*J$26</f>
        <v>429398.94879175711</v>
      </c>
      <c r="K2" s="2">
        <f>K70*K$26</f>
        <v>10891.537903473718</v>
      </c>
      <c r="L2" s="2">
        <f t="shared" ref="L2:L12" si="3">L57*L$26</f>
        <v>16936.832688588009</v>
      </c>
      <c r="M2" s="2">
        <f>J2/12</f>
        <v>35783.245732646428</v>
      </c>
      <c r="N2" s="2">
        <v>35000</v>
      </c>
    </row>
    <row r="3" spans="1:17" x14ac:dyDescent="0.25">
      <c r="A3" t="s">
        <v>59</v>
      </c>
      <c r="B3" s="2">
        <f t="shared" si="0"/>
        <v>16596.676527747786</v>
      </c>
      <c r="C3" s="2">
        <f t="shared" ref="C3:C12" si="4">C58</f>
        <v>18104</v>
      </c>
      <c r="D3" s="2">
        <f t="shared" si="1"/>
        <v>12588.946680338373</v>
      </c>
      <c r="E3" s="2">
        <f t="shared" si="1"/>
        <v>32307.597474146969</v>
      </c>
      <c r="F3" s="2">
        <f t="shared" ref="F3:F12" si="5">F58</f>
        <v>11687</v>
      </c>
      <c r="G3" s="2">
        <f t="shared" si="2"/>
        <v>17594.381257213285</v>
      </c>
      <c r="H3" s="2">
        <f t="shared" si="2"/>
        <v>50784.832770715147</v>
      </c>
      <c r="I3" s="2">
        <f t="shared" si="2"/>
        <v>2130928.3312979308</v>
      </c>
      <c r="J3" s="2">
        <f t="shared" ref="J3:J12" si="6">J58*J$26</f>
        <v>600779.80045330233</v>
      </c>
      <c r="K3" s="2">
        <f t="shared" ref="K3:K12" si="7">K71*K$26</f>
        <v>32130.016600061484</v>
      </c>
      <c r="L3" s="2">
        <f t="shared" si="3"/>
        <v>30031.523210831721</v>
      </c>
      <c r="M3" s="2">
        <f t="shared" ref="M3:M12" si="8">J3/12</f>
        <v>50064.98337110853</v>
      </c>
      <c r="N3" s="2">
        <v>50000</v>
      </c>
    </row>
    <row r="4" spans="1:17" x14ac:dyDescent="0.25">
      <c r="A4" t="s">
        <v>60</v>
      </c>
      <c r="B4" s="2">
        <f t="shared" si="0"/>
        <v>18144.483264953575</v>
      </c>
      <c r="C4" s="2">
        <f t="shared" si="4"/>
        <v>19836</v>
      </c>
      <c r="D4" s="2">
        <f t="shared" si="1"/>
        <v>13979.111766213789</v>
      </c>
      <c r="E4" s="2">
        <f t="shared" si="1"/>
        <v>35237.941359473807</v>
      </c>
      <c r="F4" s="2">
        <f t="shared" si="5"/>
        <v>13090</v>
      </c>
      <c r="G4" s="2">
        <f t="shared" si="2"/>
        <v>19316.441811842469</v>
      </c>
      <c r="H4" s="2">
        <f t="shared" si="2"/>
        <v>55393.549721700743</v>
      </c>
      <c r="I4" s="2">
        <f t="shared" si="2"/>
        <v>2415052.1088043214</v>
      </c>
      <c r="J4" s="2">
        <f t="shared" si="6"/>
        <v>678890.35328776063</v>
      </c>
      <c r="K4" s="2">
        <f t="shared" si="7"/>
        <v>35803.722348601288</v>
      </c>
      <c r="L4" s="2">
        <f t="shared" si="3"/>
        <v>36205.123307543523</v>
      </c>
      <c r="M4" s="2">
        <f t="shared" si="8"/>
        <v>56574.196107313386</v>
      </c>
      <c r="N4" s="2">
        <v>55000</v>
      </c>
      <c r="Q4" s="2"/>
    </row>
    <row r="5" spans="1:17" x14ac:dyDescent="0.25">
      <c r="A5" t="s">
        <v>61</v>
      </c>
      <c r="B5" s="2">
        <f t="shared" si="0"/>
        <v>19647.711509393219</v>
      </c>
      <c r="C5" s="2">
        <f t="shared" si="4"/>
        <v>21415</v>
      </c>
      <c r="D5" s="2">
        <f t="shared" si="1"/>
        <v>15190.600358882335</v>
      </c>
      <c r="E5" s="2">
        <f t="shared" si="1"/>
        <v>37805.27853160799</v>
      </c>
      <c r="F5" s="2">
        <f t="shared" si="5"/>
        <v>14387</v>
      </c>
      <c r="G5" s="2">
        <f t="shared" si="2"/>
        <v>21229.631268537079</v>
      </c>
      <c r="H5" s="2">
        <f t="shared" si="2"/>
        <v>59852.606613967168</v>
      </c>
      <c r="I5" s="2">
        <f t="shared" si="2"/>
        <v>2663660.4141224134</v>
      </c>
      <c r="J5" s="2">
        <f t="shared" si="6"/>
        <v>748917.20458496653</v>
      </c>
      <c r="K5" s="2">
        <f t="shared" si="7"/>
        <v>41715.04703350753</v>
      </c>
      <c r="L5" s="2">
        <f t="shared" si="3"/>
        <v>43108.416344294004</v>
      </c>
      <c r="M5" s="2">
        <f t="shared" si="8"/>
        <v>62409.767048747213</v>
      </c>
      <c r="N5" s="2">
        <v>60000</v>
      </c>
      <c r="Q5" s="2"/>
    </row>
    <row r="6" spans="1:17" x14ac:dyDescent="0.25">
      <c r="A6" t="s">
        <v>62</v>
      </c>
      <c r="B6" s="2">
        <f t="shared" si="0"/>
        <v>22348.338803714101</v>
      </c>
      <c r="C6" s="2">
        <f t="shared" si="4"/>
        <v>24440</v>
      </c>
      <c r="D6" s="2">
        <f t="shared" si="1"/>
        <v>18000.882081517557</v>
      </c>
      <c r="E6" s="2">
        <f t="shared" si="1"/>
        <v>42734.687241396932</v>
      </c>
      <c r="F6" s="2">
        <f t="shared" si="5"/>
        <v>16887</v>
      </c>
      <c r="G6" s="2">
        <f t="shared" si="2"/>
        <v>25146.998215288375</v>
      </c>
      <c r="H6" s="2">
        <f t="shared" si="2"/>
        <v>68412.515572120014</v>
      </c>
      <c r="I6" s="2">
        <f t="shared" si="2"/>
        <v>3172715.5154880304</v>
      </c>
      <c r="J6" s="2">
        <f t="shared" si="6"/>
        <v>888108.55117730412</v>
      </c>
      <c r="K6" s="2">
        <f t="shared" si="7"/>
        <v>49539.536919766368</v>
      </c>
      <c r="L6" s="2">
        <f t="shared" si="3"/>
        <v>56375.846228239847</v>
      </c>
      <c r="M6" s="2">
        <f t="shared" si="8"/>
        <v>74009.045931442015</v>
      </c>
      <c r="N6" s="2">
        <v>75000</v>
      </c>
      <c r="Q6" s="2"/>
    </row>
    <row r="7" spans="1:17" x14ac:dyDescent="0.25">
      <c r="A7" t="s">
        <v>63</v>
      </c>
      <c r="B7" s="2">
        <f t="shared" si="0"/>
        <v>25066.590153314621</v>
      </c>
      <c r="C7" s="2">
        <f t="shared" si="4"/>
        <v>27556</v>
      </c>
      <c r="D7" s="2">
        <f t="shared" si="1"/>
        <v>20469.302999230964</v>
      </c>
      <c r="E7" s="2">
        <f t="shared" si="1"/>
        <v>47609.493270092826</v>
      </c>
      <c r="F7" s="2">
        <f t="shared" si="5"/>
        <v>19307</v>
      </c>
      <c r="G7" s="2">
        <f t="shared" si="2"/>
        <v>29290.796526726746</v>
      </c>
      <c r="H7" s="2">
        <f t="shared" si="2"/>
        <v>77170.692676626612</v>
      </c>
      <c r="I7" s="2">
        <f t="shared" si="2"/>
        <v>3696991.5301233493</v>
      </c>
      <c r="J7" s="2">
        <f t="shared" si="6"/>
        <v>1040456.1426944376</v>
      </c>
      <c r="K7" s="2">
        <f t="shared" si="7"/>
        <v>66571.033261604665</v>
      </c>
      <c r="L7" s="2">
        <f t="shared" si="3"/>
        <v>72097.221953578337</v>
      </c>
      <c r="M7" s="2">
        <f t="shared" si="8"/>
        <v>86704.678557869804</v>
      </c>
      <c r="N7" s="2">
        <v>85000</v>
      </c>
      <c r="Q7" s="2"/>
    </row>
    <row r="8" spans="1:17" x14ac:dyDescent="0.25">
      <c r="A8" t="s">
        <v>64</v>
      </c>
      <c r="B8" s="2">
        <f t="shared" si="0"/>
        <v>27997.366875404881</v>
      </c>
      <c r="C8" s="2">
        <f t="shared" si="4"/>
        <v>31182</v>
      </c>
      <c r="D8" s="2">
        <f t="shared" si="1"/>
        <v>23439.670597282744</v>
      </c>
      <c r="E8" s="2">
        <f t="shared" si="1"/>
        <v>52935.276998186848</v>
      </c>
      <c r="F8" s="2">
        <f t="shared" si="5"/>
        <v>22172</v>
      </c>
      <c r="G8" s="2">
        <f t="shared" si="2"/>
        <v>34405.8690375445</v>
      </c>
      <c r="H8" s="2">
        <f t="shared" si="2"/>
        <v>87947.711484992687</v>
      </c>
      <c r="I8" s="2">
        <f t="shared" si="2"/>
        <v>4321049.1162430262</v>
      </c>
      <c r="J8" s="2">
        <f t="shared" si="6"/>
        <v>1202691.2954956281</v>
      </c>
      <c r="K8" s="2">
        <f t="shared" si="7"/>
        <v>84381.420719335991</v>
      </c>
      <c r="L8" s="2">
        <f t="shared" si="3"/>
        <v>91173.928916827848</v>
      </c>
      <c r="M8" s="2">
        <f t="shared" si="8"/>
        <v>100224.27462463568</v>
      </c>
      <c r="N8" s="2">
        <v>100000</v>
      </c>
      <c r="Q8" s="2"/>
    </row>
    <row r="9" spans="1:17" x14ac:dyDescent="0.25">
      <c r="A9" t="s">
        <v>65</v>
      </c>
      <c r="B9" s="2">
        <f t="shared" si="0"/>
        <v>31759.584323040381</v>
      </c>
      <c r="C9" s="2">
        <f t="shared" si="4"/>
        <v>35572</v>
      </c>
      <c r="D9" s="2">
        <f t="shared" si="1"/>
        <v>26792.178672135346</v>
      </c>
      <c r="E9" s="2">
        <f t="shared" si="1"/>
        <v>59704.998292963661</v>
      </c>
      <c r="F9" s="2">
        <f t="shared" si="5"/>
        <v>25381</v>
      </c>
      <c r="G9" s="2">
        <f t="shared" si="2"/>
        <v>40289.162541109457</v>
      </c>
      <c r="H9" s="2">
        <f t="shared" si="2"/>
        <v>99976.469129256671</v>
      </c>
      <c r="I9" s="2">
        <f t="shared" si="2"/>
        <v>4972166.106361839</v>
      </c>
      <c r="J9" s="2">
        <f t="shared" si="6"/>
        <v>1417186.4033321112</v>
      </c>
      <c r="K9" s="2">
        <f t="shared" si="7"/>
        <v>111648.57325545652</v>
      </c>
      <c r="L9" s="2">
        <f t="shared" si="3"/>
        <v>114965.89700193424</v>
      </c>
      <c r="M9" s="2">
        <f t="shared" si="8"/>
        <v>118098.8669443426</v>
      </c>
      <c r="N9" s="2">
        <v>120000</v>
      </c>
      <c r="Q9" s="2"/>
    </row>
    <row r="10" spans="1:17" x14ac:dyDescent="0.25">
      <c r="A10" t="s">
        <v>66</v>
      </c>
      <c r="B10" s="2">
        <f t="shared" si="0"/>
        <v>34020.646944504428</v>
      </c>
      <c r="C10" s="2">
        <f t="shared" si="4"/>
        <v>38196</v>
      </c>
      <c r="D10" s="2">
        <f t="shared" si="1"/>
        <v>28889.820046142009</v>
      </c>
      <c r="E10" s="2">
        <f t="shared" si="1"/>
        <v>63657.625707643652</v>
      </c>
      <c r="F10" s="2">
        <f t="shared" si="5"/>
        <v>27399</v>
      </c>
      <c r="G10" s="2">
        <f t="shared" si="2"/>
        <v>43783.717403374263</v>
      </c>
      <c r="H10" s="2">
        <f t="shared" si="2"/>
        <v>107184.46482220349</v>
      </c>
      <c r="I10" s="2">
        <f t="shared" si="2"/>
        <v>5493059.6984568881</v>
      </c>
      <c r="J10" s="2">
        <f t="shared" si="6"/>
        <v>1549032.3668821231</v>
      </c>
      <c r="K10" s="2">
        <f t="shared" si="7"/>
        <v>131363.23123270826</v>
      </c>
      <c r="L10" s="2">
        <f t="shared" si="3"/>
        <v>129898.95309477756</v>
      </c>
      <c r="M10" s="2">
        <f t="shared" si="8"/>
        <v>129086.03057351026</v>
      </c>
      <c r="N10" s="2">
        <v>130000</v>
      </c>
      <c r="Q10" s="2"/>
    </row>
    <row r="11" spans="1:17" x14ac:dyDescent="0.25">
      <c r="A11" t="s">
        <v>67</v>
      </c>
      <c r="B11" s="2">
        <f t="shared" si="0"/>
        <v>36659.071690779529</v>
      </c>
      <c r="C11" s="2">
        <f t="shared" si="4"/>
        <v>41370</v>
      </c>
      <c r="D11" s="2">
        <f t="shared" si="1"/>
        <v>31440.86593181235</v>
      </c>
      <c r="E11" s="2">
        <f t="shared" si="1"/>
        <v>69100.704084011624</v>
      </c>
      <c r="F11" s="2">
        <f t="shared" si="5"/>
        <v>29828</v>
      </c>
      <c r="G11" s="2">
        <f t="shared" si="2"/>
        <v>47988.094442563757</v>
      </c>
      <c r="H11" s="2">
        <f t="shared" si="2"/>
        <v>116904.01819424664</v>
      </c>
      <c r="I11" s="2">
        <f t="shared" si="2"/>
        <v>6031053.3274551239</v>
      </c>
      <c r="J11" s="2">
        <f t="shared" si="6"/>
        <v>1726676.5219998294</v>
      </c>
      <c r="K11" s="2">
        <f t="shared" si="7"/>
        <v>154737.24217645251</v>
      </c>
      <c r="L11" s="2">
        <f t="shared" si="3"/>
        <v>149695.93085106384</v>
      </c>
      <c r="M11" s="2">
        <f t="shared" si="8"/>
        <v>143889.71016665245</v>
      </c>
      <c r="N11" s="2">
        <v>145000</v>
      </c>
      <c r="Q11" s="2"/>
    </row>
    <row r="12" spans="1:17" x14ac:dyDescent="0.25">
      <c r="A12" t="s">
        <v>68</v>
      </c>
      <c r="B12" s="2">
        <f t="shared" si="0"/>
        <v>45688.808248758367</v>
      </c>
      <c r="C12" s="2">
        <f t="shared" si="4"/>
        <v>51810</v>
      </c>
      <c r="D12" s="2">
        <f t="shared" si="1"/>
        <v>39493.701871315039</v>
      </c>
      <c r="E12" s="2">
        <f t="shared" si="1"/>
        <v>85005.251693502956</v>
      </c>
      <c r="F12" s="2">
        <f t="shared" si="5"/>
        <v>37303</v>
      </c>
      <c r="G12" s="2">
        <f t="shared" si="2"/>
        <v>62682.79691055177</v>
      </c>
      <c r="H12" s="2">
        <f t="shared" si="2"/>
        <v>146643.92003772949</v>
      </c>
      <c r="I12" s="2">
        <f t="shared" si="2"/>
        <v>7623988.0297548193</v>
      </c>
      <c r="J12" s="2">
        <f t="shared" si="6"/>
        <v>2256393.462643845</v>
      </c>
      <c r="K12" s="2">
        <f t="shared" si="7"/>
        <v>286259.87015063019</v>
      </c>
      <c r="L12" s="2">
        <f t="shared" si="3"/>
        <v>212538.51063829788</v>
      </c>
      <c r="M12" s="2">
        <f t="shared" si="8"/>
        <v>188032.78855365375</v>
      </c>
      <c r="N12" s="2">
        <v>190000</v>
      </c>
      <c r="Q12" s="2"/>
    </row>
    <row r="13" spans="1:17" x14ac:dyDescent="0.25">
      <c r="A13" t="s">
        <v>45</v>
      </c>
      <c r="B13" s="5" t="s">
        <v>115</v>
      </c>
      <c r="C13" s="5" t="s">
        <v>116</v>
      </c>
      <c r="D13" s="5" t="s">
        <v>115</v>
      </c>
      <c r="E13" s="5" t="s">
        <v>115</v>
      </c>
      <c r="F13" s="5" t="s">
        <v>117</v>
      </c>
      <c r="G13" s="5" t="s">
        <v>118</v>
      </c>
      <c r="H13" s="5" t="s">
        <v>119</v>
      </c>
      <c r="I13" s="5" t="s">
        <v>120</v>
      </c>
      <c r="J13" s="5" t="s">
        <v>142</v>
      </c>
      <c r="K13" s="5" t="s">
        <v>114</v>
      </c>
      <c r="L13" s="5" t="s">
        <v>124</v>
      </c>
    </row>
    <row r="14" spans="1:17" x14ac:dyDescent="0.25">
      <c r="A14" t="s">
        <v>13</v>
      </c>
      <c r="B14" s="3">
        <v>12</v>
      </c>
      <c r="C14" s="3">
        <v>12</v>
      </c>
      <c r="D14" s="3">
        <v>12</v>
      </c>
      <c r="E14" s="3">
        <v>12</v>
      </c>
      <c r="F14" s="3">
        <v>12</v>
      </c>
      <c r="G14" s="3">
        <v>1</v>
      </c>
      <c r="H14" s="3">
        <v>1</v>
      </c>
      <c r="I14" s="3">
        <v>1</v>
      </c>
      <c r="J14" s="3">
        <v>12</v>
      </c>
      <c r="K14" s="3">
        <v>12</v>
      </c>
      <c r="L14" s="3">
        <v>1</v>
      </c>
    </row>
    <row r="15" spans="1:17" x14ac:dyDescent="0.25">
      <c r="A15" t="s">
        <v>125</v>
      </c>
      <c r="B15" s="3">
        <v>50</v>
      </c>
      <c r="C15" s="3">
        <v>50</v>
      </c>
      <c r="D15" s="3">
        <v>50</v>
      </c>
      <c r="E15" s="3">
        <v>50</v>
      </c>
      <c r="F15" s="3">
        <v>50</v>
      </c>
      <c r="G15" s="3">
        <v>500</v>
      </c>
      <c r="H15" s="3">
        <v>1000</v>
      </c>
      <c r="I15" s="3">
        <v>10000</v>
      </c>
      <c r="J15" s="3">
        <v>1000</v>
      </c>
      <c r="K15" s="3">
        <v>50</v>
      </c>
      <c r="L15" s="3">
        <v>1000</v>
      </c>
    </row>
    <row r="17" spans="1:36" x14ac:dyDescent="0.25">
      <c r="A17" t="s">
        <v>94</v>
      </c>
      <c r="G17">
        <v>34264</v>
      </c>
      <c r="H17">
        <v>80695</v>
      </c>
      <c r="I17">
        <v>4432138</v>
      </c>
      <c r="J17">
        <v>1035817</v>
      </c>
    </row>
    <row r="18" spans="1:36" x14ac:dyDescent="0.25">
      <c r="A18" t="s">
        <v>93</v>
      </c>
      <c r="G18">
        <v>38805</v>
      </c>
      <c r="H18">
        <v>86961</v>
      </c>
      <c r="I18">
        <v>5025289</v>
      </c>
      <c r="J18">
        <v>1161019</v>
      </c>
    </row>
    <row r="20" spans="1:36" x14ac:dyDescent="0.25">
      <c r="A20" t="s">
        <v>95</v>
      </c>
      <c r="B20">
        <v>46310</v>
      </c>
      <c r="C20">
        <v>53570</v>
      </c>
      <c r="D20">
        <v>39010</v>
      </c>
      <c r="E20">
        <v>22090</v>
      </c>
      <c r="F20">
        <v>33900</v>
      </c>
      <c r="G20">
        <v>49650</v>
      </c>
      <c r="H20">
        <v>101510</v>
      </c>
      <c r="I20">
        <v>33900</v>
      </c>
      <c r="J20">
        <v>13740</v>
      </c>
      <c r="K20">
        <v>32530</v>
      </c>
      <c r="L20">
        <v>82720</v>
      </c>
    </row>
    <row r="21" spans="1:36" x14ac:dyDescent="0.25">
      <c r="A21" t="s">
        <v>96</v>
      </c>
      <c r="B21">
        <v>48010</v>
      </c>
      <c r="C21">
        <v>55520</v>
      </c>
      <c r="D21">
        <v>40290</v>
      </c>
      <c r="E21">
        <v>23560</v>
      </c>
      <c r="F21">
        <v>35790</v>
      </c>
      <c r="G21">
        <v>52420</v>
      </c>
      <c r="H21">
        <v>106100</v>
      </c>
      <c r="I21">
        <v>32860</v>
      </c>
      <c r="J21">
        <v>14950</v>
      </c>
      <c r="K21">
        <v>32880</v>
      </c>
      <c r="L21">
        <v>86600</v>
      </c>
    </row>
    <row r="23" spans="1:36" x14ac:dyDescent="0.25">
      <c r="A23" t="s">
        <v>97</v>
      </c>
      <c r="B23">
        <v>0.92400000000000004</v>
      </c>
      <c r="C23">
        <v>0.92400000000000004</v>
      </c>
      <c r="D23">
        <v>0.92400000000000004</v>
      </c>
      <c r="E23">
        <v>4.1980000000000004</v>
      </c>
      <c r="F23">
        <v>0.92400000000000004</v>
      </c>
      <c r="G23">
        <v>0.80400000000000005</v>
      </c>
      <c r="H23">
        <v>0.89900000000000002</v>
      </c>
      <c r="I23">
        <v>140.511</v>
      </c>
      <c r="J23">
        <v>85.509</v>
      </c>
      <c r="K23">
        <v>3.7519999999999998</v>
      </c>
      <c r="L23">
        <v>1</v>
      </c>
    </row>
    <row r="24" spans="1:36" x14ac:dyDescent="0.25">
      <c r="A24" t="s">
        <v>98</v>
      </c>
      <c r="B24">
        <v>0.92400000000000004</v>
      </c>
      <c r="C24">
        <v>0.92400000000000004</v>
      </c>
      <c r="D24">
        <v>0.92400000000000004</v>
      </c>
      <c r="E24">
        <v>3.98</v>
      </c>
      <c r="F24">
        <v>0.92400000000000004</v>
      </c>
      <c r="G24">
        <v>0.78300000000000003</v>
      </c>
      <c r="H24">
        <v>0.88100000000000001</v>
      </c>
      <c r="I24">
        <v>151.35300000000001</v>
      </c>
      <c r="J24">
        <v>92.837000000000003</v>
      </c>
      <c r="K24">
        <v>3.7519999999999998</v>
      </c>
      <c r="L24">
        <v>1</v>
      </c>
    </row>
    <row r="26" spans="1:36" x14ac:dyDescent="0.25">
      <c r="A26" t="s">
        <v>99</v>
      </c>
      <c r="B26" s="4">
        <f>B21*B24/(B20*B23)</f>
        <v>1.0367091340963075</v>
      </c>
      <c r="C26" s="4">
        <f t="shared" ref="C26:L26" si="9">C21*C24/(C20*C23)</f>
        <v>1.0364009706925519</v>
      </c>
      <c r="D26" s="4">
        <f t="shared" si="9"/>
        <v>1.0328120994616763</v>
      </c>
      <c r="E26" s="4">
        <f t="shared" si="9"/>
        <v>1.011160760982347</v>
      </c>
      <c r="F26" s="4">
        <f t="shared" si="9"/>
        <v>1.0557522123893803</v>
      </c>
      <c r="G26" s="4">
        <f t="shared" si="9"/>
        <v>1.0282139153176713</v>
      </c>
      <c r="H26" s="4">
        <f t="shared" si="9"/>
        <v>1.0242896226928879</v>
      </c>
      <c r="I26" s="4">
        <f t="shared" si="9"/>
        <v>1.0441155647877662</v>
      </c>
      <c r="J26" s="6">
        <f t="shared" si="9"/>
        <v>1.181309591882554</v>
      </c>
      <c r="K26" s="4">
        <f t="shared" si="9"/>
        <v>1.0107592991085153</v>
      </c>
      <c r="L26" s="4">
        <f t="shared" si="9"/>
        <v>1.0469052224371374</v>
      </c>
    </row>
    <row r="27" spans="1:36" x14ac:dyDescent="0.25">
      <c r="A27" t="s">
        <v>100</v>
      </c>
      <c r="G27" s="4">
        <f>G18/G17</f>
        <v>1.1325297688536073</v>
      </c>
      <c r="H27" s="4">
        <f>H18/H17</f>
        <v>1.0776504120453561</v>
      </c>
      <c r="I27" s="4">
        <f>I18/I17</f>
        <v>1.1338295423111826</v>
      </c>
      <c r="J27" s="4">
        <f>J18/J17</f>
        <v>1.120872702417512</v>
      </c>
    </row>
    <row r="28" spans="1:36" x14ac:dyDescent="0.25">
      <c r="A28" t="s">
        <v>102</v>
      </c>
      <c r="G28" s="4">
        <f>G27*G26</f>
        <v>1.1644828678467849</v>
      </c>
      <c r="H28" s="4">
        <f>H27*H26</f>
        <v>1.1038261339487729</v>
      </c>
      <c r="I28" s="4">
        <f>I27*I26</f>
        <v>1.1838490729432949</v>
      </c>
      <c r="J28" s="4">
        <f>J27*J26</f>
        <v>1.3240976746451265</v>
      </c>
    </row>
    <row r="30" spans="1:36" x14ac:dyDescent="0.25">
      <c r="A30" t="s">
        <v>103</v>
      </c>
      <c r="B30" t="s">
        <v>48</v>
      </c>
      <c r="C30" t="s">
        <v>49</v>
      </c>
      <c r="D30" t="s">
        <v>50</v>
      </c>
      <c r="E30" t="s">
        <v>51</v>
      </c>
      <c r="F30" t="s">
        <v>52</v>
      </c>
      <c r="G30" t="s">
        <v>53</v>
      </c>
      <c r="H30" t="s">
        <v>54</v>
      </c>
      <c r="I30" t="s">
        <v>55</v>
      </c>
      <c r="J30" t="s">
        <v>56</v>
      </c>
      <c r="K30" t="s">
        <v>92</v>
      </c>
      <c r="L30" t="s">
        <v>57</v>
      </c>
      <c r="M30" t="s">
        <v>69</v>
      </c>
      <c r="N30" t="s">
        <v>70</v>
      </c>
      <c r="O30" t="s">
        <v>71</v>
      </c>
      <c r="P30" t="s">
        <v>72</v>
      </c>
      <c r="Q30" t="s">
        <v>73</v>
      </c>
      <c r="R30" t="s">
        <v>74</v>
      </c>
      <c r="S30" t="s">
        <v>75</v>
      </c>
      <c r="T30" t="s">
        <v>76</v>
      </c>
      <c r="U30" t="s">
        <v>77</v>
      </c>
      <c r="V30" t="s">
        <v>78</v>
      </c>
      <c r="W30" t="s">
        <v>79</v>
      </c>
      <c r="X30" t="s">
        <v>80</v>
      </c>
      <c r="Y30" t="s">
        <v>81</v>
      </c>
      <c r="Z30" t="s">
        <v>82</v>
      </c>
      <c r="AA30" t="s">
        <v>83</v>
      </c>
      <c r="AB30" t="s">
        <v>84</v>
      </c>
      <c r="AC30" t="s">
        <v>85</v>
      </c>
      <c r="AD30" t="s">
        <v>86</v>
      </c>
      <c r="AE30" t="s">
        <v>87</v>
      </c>
      <c r="AF30" t="s">
        <v>88</v>
      </c>
      <c r="AG30" t="s">
        <v>89</v>
      </c>
      <c r="AH30" t="s">
        <v>90</v>
      </c>
      <c r="AI30" t="s">
        <v>91</v>
      </c>
    </row>
    <row r="31" spans="1:36" x14ac:dyDescent="0.25">
      <c r="A31" t="s">
        <v>58</v>
      </c>
      <c r="B31" s="2">
        <v>13520</v>
      </c>
      <c r="C31" s="2">
        <v>13666.666999999999</v>
      </c>
      <c r="D31" s="2">
        <v>6875.1360000000004</v>
      </c>
      <c r="E31" s="2">
        <v>16320</v>
      </c>
      <c r="F31" s="2">
        <v>9421.1110000000008</v>
      </c>
      <c r="G31" s="2">
        <v>11759.109</v>
      </c>
      <c r="H31" s="2">
        <v>36483.332999999999</v>
      </c>
      <c r="I31" s="2">
        <v>1268292.683</v>
      </c>
      <c r="J31" s="2">
        <v>306350.3</v>
      </c>
      <c r="K31" s="2"/>
      <c r="L31" s="2">
        <v>18493.332999999999</v>
      </c>
      <c r="M31" s="2">
        <v>23567.280999999999</v>
      </c>
      <c r="N31" s="2">
        <v>16520.22</v>
      </c>
      <c r="O31" s="2">
        <v>16222.31</v>
      </c>
      <c r="P31" s="2">
        <v>7800</v>
      </c>
      <c r="Q31" s="2">
        <v>10342.746999999999</v>
      </c>
      <c r="R31" s="2">
        <v>3107037.5610000002</v>
      </c>
      <c r="S31" s="2">
        <v>197734</v>
      </c>
      <c r="T31" s="2">
        <v>12686666.666999999</v>
      </c>
      <c r="U31" s="2">
        <v>16320</v>
      </c>
      <c r="V31" s="2">
        <v>36480</v>
      </c>
      <c r="W31" s="2">
        <v>4844.4799999999996</v>
      </c>
      <c r="X31" s="2">
        <v>29836.891</v>
      </c>
      <c r="Y31" s="2">
        <v>178730.98</v>
      </c>
      <c r="Z31" s="2">
        <v>36194.330999999998</v>
      </c>
      <c r="AA31" s="2">
        <v>18784.667000000001</v>
      </c>
      <c r="AB31" s="2">
        <v>264508</v>
      </c>
      <c r="AC31" s="2">
        <v>2513.6089999999999</v>
      </c>
      <c r="AD31" s="2">
        <v>15536.703</v>
      </c>
      <c r="AE31" s="2">
        <v>214340.571</v>
      </c>
      <c r="AF31" s="2">
        <v>175859.13</v>
      </c>
      <c r="AG31" s="2">
        <v>243878</v>
      </c>
      <c r="AH31" s="2">
        <v>169666.66699999999</v>
      </c>
      <c r="AI31" s="2">
        <v>8128</v>
      </c>
      <c r="AJ31" s="2">
        <v>7407</v>
      </c>
    </row>
    <row r="32" spans="1:36" x14ac:dyDescent="0.25">
      <c r="A32" t="s">
        <v>59</v>
      </c>
      <c r="B32" s="2">
        <v>17520</v>
      </c>
      <c r="C32" s="2">
        <v>19366.25</v>
      </c>
      <c r="D32" s="2">
        <v>9549.25</v>
      </c>
      <c r="E32" s="2">
        <v>21913.040000000001</v>
      </c>
      <c r="F32" s="2">
        <v>12749.6</v>
      </c>
      <c r="G32" s="2">
        <v>15109.18</v>
      </c>
      <c r="H32" s="2">
        <v>46008</v>
      </c>
      <c r="I32" s="2">
        <v>1800000</v>
      </c>
      <c r="J32" s="2">
        <v>380686.67</v>
      </c>
      <c r="K32" s="2"/>
      <c r="L32" s="2">
        <v>26749</v>
      </c>
      <c r="M32" s="2">
        <v>30200.53</v>
      </c>
      <c r="N32" s="2">
        <v>22153.98</v>
      </c>
      <c r="O32" s="2">
        <v>20273.13</v>
      </c>
      <c r="P32" s="2">
        <v>11913.48</v>
      </c>
      <c r="Q32" s="2">
        <v>16176.86</v>
      </c>
      <c r="R32" s="2">
        <v>5217391.3</v>
      </c>
      <c r="S32" s="2">
        <v>247307.08</v>
      </c>
      <c r="T32" s="2">
        <v>18075000</v>
      </c>
      <c r="U32" s="2">
        <v>20660</v>
      </c>
      <c r="V32" s="2">
        <v>51497.14</v>
      </c>
      <c r="W32" s="2">
        <v>6605.4</v>
      </c>
      <c r="X32" s="2">
        <v>38289.29</v>
      </c>
      <c r="Y32" s="2">
        <v>245369.23</v>
      </c>
      <c r="Z32" s="2">
        <v>49332.69</v>
      </c>
      <c r="AA32" s="2">
        <v>23349</v>
      </c>
      <c r="AB32" s="2">
        <v>352064</v>
      </c>
      <c r="AC32" s="2">
        <v>4542.91</v>
      </c>
      <c r="AD32" s="2">
        <v>23247.040000000001</v>
      </c>
      <c r="AE32" s="2">
        <v>288000</v>
      </c>
      <c r="AF32" s="2">
        <v>225693.33</v>
      </c>
      <c r="AG32" s="2">
        <v>319537</v>
      </c>
      <c r="AH32" s="2">
        <v>224582.41</v>
      </c>
      <c r="AI32" s="2">
        <v>13406.9</v>
      </c>
      <c r="AJ32" s="2">
        <v>11800</v>
      </c>
    </row>
    <row r="33" spans="1:36" x14ac:dyDescent="0.25">
      <c r="A33" t="s">
        <v>60</v>
      </c>
      <c r="B33" s="2">
        <v>19264.754000000001</v>
      </c>
      <c r="C33" s="2">
        <v>21938.667000000001</v>
      </c>
      <c r="D33" s="2">
        <v>10987.833000000001</v>
      </c>
      <c r="E33" s="2">
        <v>23869.412</v>
      </c>
      <c r="F33" s="2">
        <v>14404.2</v>
      </c>
      <c r="G33" s="2">
        <v>16588</v>
      </c>
      <c r="H33" s="2">
        <v>50183.22</v>
      </c>
      <c r="I33" s="2">
        <v>2040000</v>
      </c>
      <c r="J33" s="2">
        <v>415211.429</v>
      </c>
      <c r="K33" s="2"/>
      <c r="L33" s="2">
        <v>30757.143</v>
      </c>
      <c r="M33" s="2">
        <v>34162.127</v>
      </c>
      <c r="N33" s="2">
        <v>24751.719000000001</v>
      </c>
      <c r="O33" s="2">
        <v>22821.599999999999</v>
      </c>
      <c r="P33" s="2">
        <v>13776.4</v>
      </c>
      <c r="Q33" s="2">
        <v>18971.904999999999</v>
      </c>
      <c r="R33" s="2">
        <v>6227884.0279999999</v>
      </c>
      <c r="S33" s="2">
        <v>266780.66700000002</v>
      </c>
      <c r="T33" s="2">
        <v>20612000</v>
      </c>
      <c r="U33" s="2">
        <v>22743.332999999999</v>
      </c>
      <c r="V33" s="2">
        <v>58608</v>
      </c>
      <c r="W33" s="2">
        <v>7606.4</v>
      </c>
      <c r="X33" s="2">
        <v>42598.233999999997</v>
      </c>
      <c r="Y33" s="2">
        <v>272154.83899999998</v>
      </c>
      <c r="Z33" s="2">
        <v>55128.781999999999</v>
      </c>
      <c r="AA33" s="2">
        <v>25765.332999999999</v>
      </c>
      <c r="AB33" s="2">
        <v>387834</v>
      </c>
      <c r="AC33" s="2">
        <v>5569.3329999999996</v>
      </c>
      <c r="AD33" s="2">
        <v>26298.564999999999</v>
      </c>
      <c r="AE33" s="2">
        <v>319714.28600000002</v>
      </c>
      <c r="AF33" s="2">
        <v>249510</v>
      </c>
      <c r="AG33" s="2">
        <v>350790</v>
      </c>
      <c r="AH33" s="2">
        <v>249600</v>
      </c>
      <c r="AI33" s="2">
        <v>16393.225999999999</v>
      </c>
      <c r="AJ33" s="2">
        <v>14174</v>
      </c>
    </row>
    <row r="34" spans="1:36" x14ac:dyDescent="0.25">
      <c r="A34" t="s">
        <v>61</v>
      </c>
      <c r="B34" s="2">
        <v>20998.017</v>
      </c>
      <c r="C34" s="2">
        <v>24101</v>
      </c>
      <c r="D34" s="2">
        <v>12161.708000000001</v>
      </c>
      <c r="E34" s="2">
        <v>25600</v>
      </c>
      <c r="F34" s="2">
        <v>15947.066999999999</v>
      </c>
      <c r="G34" s="2">
        <v>18230.952000000001</v>
      </c>
      <c r="H34" s="2">
        <v>54222.857000000004</v>
      </c>
      <c r="I34" s="2">
        <v>2250000</v>
      </c>
      <c r="J34" s="2">
        <v>451768.88900000002</v>
      </c>
      <c r="K34" s="2"/>
      <c r="L34" s="2">
        <v>34986.667000000001</v>
      </c>
      <c r="M34" s="2">
        <v>38486.358</v>
      </c>
      <c r="N34" s="2">
        <v>27101.55</v>
      </c>
      <c r="O34" s="2">
        <v>25539.922999999999</v>
      </c>
      <c r="P34" s="2">
        <v>15531.759</v>
      </c>
      <c r="Q34" s="2">
        <v>22035.602999999999</v>
      </c>
      <c r="R34" s="2">
        <v>7200000</v>
      </c>
      <c r="S34" s="2">
        <v>291403</v>
      </c>
      <c r="T34" s="2">
        <v>22884000</v>
      </c>
      <c r="U34" s="2">
        <v>25335</v>
      </c>
      <c r="V34" s="2">
        <v>65937.048999999999</v>
      </c>
      <c r="W34" s="2">
        <v>8620</v>
      </c>
      <c r="X34" s="2">
        <v>46393.894</v>
      </c>
      <c r="Y34" s="2">
        <v>302823.75</v>
      </c>
      <c r="Z34" s="2">
        <v>60853.826999999997</v>
      </c>
      <c r="AA34" s="2">
        <v>28201.429</v>
      </c>
      <c r="AB34" s="2">
        <v>420255.33299999998</v>
      </c>
      <c r="AC34" s="2">
        <v>6511.7079999999996</v>
      </c>
      <c r="AD34" s="2">
        <v>29270.986000000001</v>
      </c>
      <c r="AE34" s="2">
        <v>355200</v>
      </c>
      <c r="AF34" s="2">
        <v>275201.25</v>
      </c>
      <c r="AG34" s="2">
        <v>379617.6</v>
      </c>
      <c r="AH34" s="2">
        <v>273127.54300000001</v>
      </c>
      <c r="AI34" s="2">
        <v>18930.217000000001</v>
      </c>
      <c r="AJ34" s="2">
        <v>16634</v>
      </c>
    </row>
    <row r="35" spans="1:36" x14ac:dyDescent="0.25">
      <c r="A35" t="s">
        <v>62</v>
      </c>
      <c r="B35" s="2">
        <v>24302.13</v>
      </c>
      <c r="C35" s="2">
        <v>28866.667000000001</v>
      </c>
      <c r="D35" s="2">
        <v>14985.324000000001</v>
      </c>
      <c r="E35" s="2">
        <v>29333.332999999999</v>
      </c>
      <c r="F35" s="2">
        <v>18904.919999999998</v>
      </c>
      <c r="G35" s="2">
        <v>21594.991999999998</v>
      </c>
      <c r="H35" s="2">
        <v>61977.618999999999</v>
      </c>
      <c r="I35" s="2">
        <v>2680000</v>
      </c>
      <c r="J35" s="2">
        <v>522738.67700000003</v>
      </c>
      <c r="K35" s="2"/>
      <c r="L35" s="2">
        <v>43832.692000000003</v>
      </c>
      <c r="M35" s="2">
        <v>47864.52</v>
      </c>
      <c r="N35" s="2">
        <v>31810.394</v>
      </c>
      <c r="O35" s="2">
        <v>30726.087</v>
      </c>
      <c r="P35" s="2">
        <v>18756.522000000001</v>
      </c>
      <c r="Q35" s="2">
        <v>27946.668000000001</v>
      </c>
      <c r="R35" s="2">
        <v>9266666.6669999994</v>
      </c>
      <c r="S35" s="2">
        <v>346602</v>
      </c>
      <c r="T35" s="2">
        <v>27245000</v>
      </c>
      <c r="U35" s="2">
        <v>30800</v>
      </c>
      <c r="V35" s="2">
        <v>82185.600000000006</v>
      </c>
      <c r="W35" s="2">
        <v>10849.18</v>
      </c>
      <c r="X35" s="2">
        <v>53759.48</v>
      </c>
      <c r="Y35" s="2">
        <v>366666.66700000002</v>
      </c>
      <c r="Z35" s="2">
        <v>72200.967999999993</v>
      </c>
      <c r="AA35" s="2">
        <v>34039</v>
      </c>
      <c r="AB35" s="2">
        <v>481516</v>
      </c>
      <c r="AC35" s="2">
        <v>8306.9619999999995</v>
      </c>
      <c r="AD35" s="2">
        <v>35902.468000000001</v>
      </c>
      <c r="AE35" s="2">
        <v>412640</v>
      </c>
      <c r="AF35" s="2">
        <v>322185.23800000001</v>
      </c>
      <c r="AG35" s="2">
        <v>433375.5</v>
      </c>
      <c r="AH35" s="2">
        <v>324000</v>
      </c>
      <c r="AI35" s="2">
        <v>26788.437999999998</v>
      </c>
      <c r="AJ35" s="2">
        <v>22369</v>
      </c>
    </row>
    <row r="36" spans="1:36" x14ac:dyDescent="0.25">
      <c r="A36" t="s">
        <v>63</v>
      </c>
      <c r="B36" s="2">
        <v>27593.96</v>
      </c>
      <c r="C36" s="2">
        <v>33600</v>
      </c>
      <c r="D36" s="2">
        <v>18160.5</v>
      </c>
      <c r="E36" s="2">
        <v>32973.910000000003</v>
      </c>
      <c r="F36" s="2">
        <v>22100.27</v>
      </c>
      <c r="G36" s="2">
        <v>25153.48</v>
      </c>
      <c r="H36" s="2">
        <v>69912</v>
      </c>
      <c r="I36" s="2">
        <v>3122857.14</v>
      </c>
      <c r="J36" s="2">
        <v>599386.37</v>
      </c>
      <c r="K36" s="2"/>
      <c r="L36" s="2">
        <v>53720.4</v>
      </c>
      <c r="M36" s="2">
        <v>57155.37</v>
      </c>
      <c r="N36" s="2">
        <v>36377.040000000001</v>
      </c>
      <c r="O36" s="2">
        <v>36698.06</v>
      </c>
      <c r="P36" s="2">
        <v>22131.67</v>
      </c>
      <c r="Q36" s="2">
        <v>34556.28</v>
      </c>
      <c r="R36" s="2">
        <v>11586666.67</v>
      </c>
      <c r="S36" s="2">
        <v>404741.9</v>
      </c>
      <c r="T36" s="2">
        <v>32020000</v>
      </c>
      <c r="U36" s="2">
        <v>36721.74</v>
      </c>
      <c r="V36" s="2">
        <v>100539.43</v>
      </c>
      <c r="W36" s="2">
        <v>13472.63</v>
      </c>
      <c r="X36" s="2">
        <v>62910.51</v>
      </c>
      <c r="Y36" s="2">
        <v>432029.6</v>
      </c>
      <c r="Z36" s="2">
        <v>85069.55</v>
      </c>
      <c r="AA36" s="2">
        <v>39548</v>
      </c>
      <c r="AB36" s="2">
        <v>543292.6</v>
      </c>
      <c r="AC36" s="2">
        <v>10202.4</v>
      </c>
      <c r="AD36" s="2">
        <v>42555.38</v>
      </c>
      <c r="AE36" s="2">
        <v>470400</v>
      </c>
      <c r="AF36" s="2">
        <v>369681.15</v>
      </c>
      <c r="AG36" s="2">
        <v>485220</v>
      </c>
      <c r="AH36" s="2">
        <v>381000</v>
      </c>
      <c r="AI36" s="2">
        <v>36838.89</v>
      </c>
      <c r="AJ36" s="2">
        <v>31143</v>
      </c>
    </row>
    <row r="37" spans="1:36" x14ac:dyDescent="0.25">
      <c r="A37" t="s">
        <v>64</v>
      </c>
      <c r="B37" s="2">
        <v>31342.97</v>
      </c>
      <c r="C37" s="2">
        <v>38971.33</v>
      </c>
      <c r="D37" s="2">
        <v>21340.86</v>
      </c>
      <c r="E37" s="2">
        <v>36720</v>
      </c>
      <c r="F37" s="2">
        <v>25666.87</v>
      </c>
      <c r="G37" s="2">
        <v>29546.05</v>
      </c>
      <c r="H37" s="2">
        <v>79675.33</v>
      </c>
      <c r="I37" s="2">
        <v>3650000</v>
      </c>
      <c r="J37" s="2">
        <v>689655.19</v>
      </c>
      <c r="K37" s="2"/>
      <c r="L37" s="2">
        <v>65200</v>
      </c>
      <c r="M37" s="2">
        <v>67808.070000000007</v>
      </c>
      <c r="N37" s="2">
        <v>41759.730000000003</v>
      </c>
      <c r="O37" s="2">
        <v>42125.06</v>
      </c>
      <c r="P37" s="2">
        <v>26623.82</v>
      </c>
      <c r="Q37" s="2">
        <v>42119.839999999997</v>
      </c>
      <c r="R37" s="2">
        <v>14560000</v>
      </c>
      <c r="S37" s="2">
        <v>465471.54</v>
      </c>
      <c r="T37" s="2">
        <v>37203448.280000001</v>
      </c>
      <c r="U37" s="2">
        <v>42834.48</v>
      </c>
      <c r="V37" s="2">
        <v>121484</v>
      </c>
      <c r="W37" s="2">
        <v>16360.59</v>
      </c>
      <c r="X37" s="2">
        <v>71657.06</v>
      </c>
      <c r="Y37" s="2">
        <v>506365.87</v>
      </c>
      <c r="Z37" s="2">
        <v>100434.76</v>
      </c>
      <c r="AA37" s="2">
        <v>44900.5</v>
      </c>
      <c r="AB37" s="2">
        <v>609488.1</v>
      </c>
      <c r="AC37" s="2">
        <v>12370.07</v>
      </c>
      <c r="AD37" s="2">
        <v>48877.68</v>
      </c>
      <c r="AE37" s="2">
        <v>540480</v>
      </c>
      <c r="AF37" s="2">
        <v>420157.62</v>
      </c>
      <c r="AG37" s="2">
        <v>547851.5</v>
      </c>
      <c r="AH37" s="2">
        <v>448000</v>
      </c>
      <c r="AI37" s="2">
        <v>50807.4</v>
      </c>
      <c r="AJ37" s="2">
        <v>42565</v>
      </c>
    </row>
    <row r="38" spans="1:36" x14ac:dyDescent="0.25">
      <c r="A38" t="s">
        <v>65</v>
      </c>
      <c r="B38" s="2">
        <v>35951.42</v>
      </c>
      <c r="C38" s="2">
        <v>45501</v>
      </c>
      <c r="D38" s="2">
        <v>25770.26</v>
      </c>
      <c r="E38" s="2">
        <v>41252.31</v>
      </c>
      <c r="F38" s="2">
        <v>30270</v>
      </c>
      <c r="G38" s="2">
        <v>34598.33</v>
      </c>
      <c r="H38" s="2">
        <v>90572.66</v>
      </c>
      <c r="I38" s="2">
        <v>4200000</v>
      </c>
      <c r="J38" s="2">
        <v>802358.62</v>
      </c>
      <c r="K38" s="2"/>
      <c r="L38" s="2">
        <v>79655</v>
      </c>
      <c r="M38" s="2">
        <v>78913.06</v>
      </c>
      <c r="N38" s="2">
        <v>48482.91</v>
      </c>
      <c r="O38" s="2">
        <v>48733.120000000003</v>
      </c>
      <c r="P38" s="2">
        <v>32836</v>
      </c>
      <c r="Q38" s="2">
        <v>51784.45</v>
      </c>
      <c r="R38" s="2">
        <v>18461538.460000001</v>
      </c>
      <c r="S38" s="2">
        <v>533759</v>
      </c>
      <c r="T38" s="2">
        <v>43695238.100000001</v>
      </c>
      <c r="U38" s="2">
        <v>50710</v>
      </c>
      <c r="V38" s="2">
        <v>145344</v>
      </c>
      <c r="W38" s="2">
        <v>19838.97</v>
      </c>
      <c r="X38" s="2">
        <v>83423.27</v>
      </c>
      <c r="Y38" s="2">
        <v>600163.29</v>
      </c>
      <c r="Z38" s="2">
        <v>119758.62</v>
      </c>
      <c r="AA38" s="2">
        <v>50856.67</v>
      </c>
      <c r="AB38" s="2">
        <v>688880.4</v>
      </c>
      <c r="AC38" s="2">
        <v>15165.29</v>
      </c>
      <c r="AD38" s="2">
        <v>57117.37</v>
      </c>
      <c r="AE38" s="2">
        <v>626086.96</v>
      </c>
      <c r="AF38" s="2">
        <v>476736.5</v>
      </c>
      <c r="AG38" s="2">
        <v>620746.67000000004</v>
      </c>
      <c r="AH38" s="2">
        <v>533398.67000000004</v>
      </c>
      <c r="AI38" s="2">
        <v>73333</v>
      </c>
      <c r="AJ38" s="2">
        <v>62546</v>
      </c>
    </row>
    <row r="39" spans="1:36" x14ac:dyDescent="0.25">
      <c r="A39" t="s">
        <v>66</v>
      </c>
      <c r="B39" s="2">
        <v>38800.160000000003</v>
      </c>
      <c r="C39" s="2">
        <v>49820</v>
      </c>
      <c r="D39" s="2">
        <v>27760.86</v>
      </c>
      <c r="E39" s="2">
        <v>44000</v>
      </c>
      <c r="F39" s="2">
        <v>33164</v>
      </c>
      <c r="G39" s="2">
        <v>37599.279999999999</v>
      </c>
      <c r="H39" s="2">
        <v>97102.67</v>
      </c>
      <c r="I39" s="2">
        <v>4640000</v>
      </c>
      <c r="J39" s="2">
        <v>877724.74</v>
      </c>
      <c r="K39" s="2"/>
      <c r="L39" s="2">
        <v>89072.78</v>
      </c>
      <c r="M39" s="2">
        <v>86760.960000000006</v>
      </c>
      <c r="N39" s="2">
        <v>51919.26</v>
      </c>
      <c r="O39" s="2">
        <v>52633.29</v>
      </c>
      <c r="P39" s="2">
        <v>37200</v>
      </c>
      <c r="Q39" s="2">
        <v>57961.99</v>
      </c>
      <c r="R39" s="2">
        <v>21040000</v>
      </c>
      <c r="S39" s="2">
        <v>574920</v>
      </c>
      <c r="T39" s="2">
        <v>47666666.670000002</v>
      </c>
      <c r="U39" s="2">
        <v>55453.33</v>
      </c>
      <c r="V39" s="2">
        <v>160742.60999999999</v>
      </c>
      <c r="W39" s="2">
        <v>21906.799999999999</v>
      </c>
      <c r="X39" s="2">
        <v>91170.67</v>
      </c>
      <c r="Y39" s="2">
        <v>662169.54</v>
      </c>
      <c r="Z39" s="2">
        <v>132898.45000000001</v>
      </c>
      <c r="AA39" s="2">
        <v>54869.57</v>
      </c>
      <c r="AB39" s="2">
        <v>738204.67</v>
      </c>
      <c r="AC39" s="2">
        <v>17065.72</v>
      </c>
      <c r="AD39" s="2">
        <v>61600.57</v>
      </c>
      <c r="AE39" s="2">
        <v>672969.6</v>
      </c>
      <c r="AF39" s="2">
        <v>510245</v>
      </c>
      <c r="AG39" s="2">
        <v>668161.67000000004</v>
      </c>
      <c r="AH39" s="2">
        <v>593382</v>
      </c>
      <c r="AI39" s="2">
        <v>91200</v>
      </c>
      <c r="AJ39" s="2">
        <v>77126</v>
      </c>
    </row>
    <row r="40" spans="1:36" x14ac:dyDescent="0.25">
      <c r="A40" t="s">
        <v>67</v>
      </c>
      <c r="B40" s="2">
        <v>42463.88</v>
      </c>
      <c r="C40" s="2">
        <v>54347.199999999997</v>
      </c>
      <c r="D40" s="2">
        <v>30949.48</v>
      </c>
      <c r="E40" s="2">
        <v>47585.45</v>
      </c>
      <c r="F40" s="2">
        <v>36703.919999999998</v>
      </c>
      <c r="G40" s="2">
        <v>41209.79</v>
      </c>
      <c r="H40" s="2">
        <v>105908</v>
      </c>
      <c r="I40" s="2">
        <v>5094444.4400000004</v>
      </c>
      <c r="J40" s="2">
        <v>962854.23</v>
      </c>
      <c r="K40" s="2"/>
      <c r="L40" s="2">
        <v>100368</v>
      </c>
      <c r="M40" s="2">
        <v>95947.74</v>
      </c>
      <c r="N40" s="2">
        <v>56057.35</v>
      </c>
      <c r="O40" s="2">
        <v>57815.93</v>
      </c>
      <c r="P40" s="2">
        <v>43000</v>
      </c>
      <c r="Q40" s="2">
        <v>65017.3</v>
      </c>
      <c r="R40" s="2">
        <v>24583333.329999998</v>
      </c>
      <c r="S40" s="2">
        <v>622183.48</v>
      </c>
      <c r="T40" s="2">
        <v>52566666.670000002</v>
      </c>
      <c r="U40" s="2">
        <v>60870</v>
      </c>
      <c r="V40" s="2">
        <v>178392</v>
      </c>
      <c r="W40" s="2">
        <v>24360.33</v>
      </c>
      <c r="X40" s="2">
        <v>97890</v>
      </c>
      <c r="Y40" s="2">
        <v>744000</v>
      </c>
      <c r="Z40" s="2">
        <v>150180.14000000001</v>
      </c>
      <c r="AA40" s="2">
        <v>60026</v>
      </c>
      <c r="AB40" s="2">
        <v>798890.67</v>
      </c>
      <c r="AC40" s="2">
        <v>19289.169999999998</v>
      </c>
      <c r="AD40" s="2">
        <v>67120.47</v>
      </c>
      <c r="AE40" s="2">
        <v>726400</v>
      </c>
      <c r="AF40" s="2">
        <v>551858.5</v>
      </c>
      <c r="AG40" s="2">
        <v>731414.44</v>
      </c>
      <c r="AH40" s="2">
        <v>666666.67000000004</v>
      </c>
      <c r="AI40" s="2">
        <v>120000</v>
      </c>
      <c r="AJ40" s="2">
        <v>101099</v>
      </c>
    </row>
    <row r="41" spans="1:36" x14ac:dyDescent="0.25">
      <c r="A41" t="s">
        <v>68</v>
      </c>
      <c r="B41" s="2">
        <v>55180.92</v>
      </c>
      <c r="C41" s="2">
        <v>71340</v>
      </c>
      <c r="D41" s="2">
        <v>40201.129999999997</v>
      </c>
      <c r="E41" s="2">
        <v>59010</v>
      </c>
      <c r="F41" s="2">
        <v>47583.4</v>
      </c>
      <c r="G41" s="2">
        <v>53828.87</v>
      </c>
      <c r="H41" s="2">
        <v>132850.56</v>
      </c>
      <c r="I41" s="2">
        <v>6440000</v>
      </c>
      <c r="J41" s="2">
        <v>1241379.31</v>
      </c>
      <c r="K41" s="2"/>
      <c r="L41" s="2">
        <v>141324</v>
      </c>
      <c r="M41" s="2">
        <v>123467.52</v>
      </c>
      <c r="N41" s="2">
        <v>70984.37</v>
      </c>
      <c r="O41" s="2">
        <v>71566.66</v>
      </c>
      <c r="P41" s="2">
        <v>66026.67</v>
      </c>
      <c r="Q41" s="2">
        <v>88345</v>
      </c>
      <c r="R41" s="2">
        <v>39469091.200000003</v>
      </c>
      <c r="S41" s="2">
        <v>777378</v>
      </c>
      <c r="T41" s="2">
        <v>67580000</v>
      </c>
      <c r="U41" s="2">
        <v>79473.33</v>
      </c>
      <c r="V41" s="2">
        <v>242948.57</v>
      </c>
      <c r="W41" s="2">
        <v>32769.449999999997</v>
      </c>
      <c r="X41" s="2">
        <v>123619.84</v>
      </c>
      <c r="Y41" s="2">
        <v>1009360</v>
      </c>
      <c r="Z41" s="2">
        <v>209547.91</v>
      </c>
      <c r="AA41" s="2">
        <v>75531.899999999994</v>
      </c>
      <c r="AB41" s="2">
        <v>995235.6</v>
      </c>
      <c r="AC41" s="2">
        <v>26720.78</v>
      </c>
      <c r="AD41" s="2">
        <v>85338.76</v>
      </c>
      <c r="AE41" s="2">
        <v>890098.67</v>
      </c>
      <c r="AF41" s="2">
        <v>685221.33</v>
      </c>
      <c r="AG41" s="2">
        <v>932690.5</v>
      </c>
      <c r="AH41" s="2">
        <v>938000</v>
      </c>
      <c r="AI41" s="2">
        <v>235545.33</v>
      </c>
      <c r="AJ41" s="2">
        <v>202070</v>
      </c>
    </row>
    <row r="43" spans="1:36" x14ac:dyDescent="0.25">
      <c r="A43" t="s">
        <v>104</v>
      </c>
      <c r="B43" t="s">
        <v>48</v>
      </c>
      <c r="C43" t="s">
        <v>49</v>
      </c>
      <c r="D43" t="s">
        <v>50</v>
      </c>
      <c r="E43" t="s">
        <v>51</v>
      </c>
      <c r="F43" t="s">
        <v>52</v>
      </c>
      <c r="G43" t="s">
        <v>53</v>
      </c>
      <c r="H43" t="s">
        <v>54</v>
      </c>
      <c r="I43" t="s">
        <v>55</v>
      </c>
      <c r="J43" t="s">
        <v>56</v>
      </c>
      <c r="K43" t="s">
        <v>92</v>
      </c>
      <c r="L43" t="s">
        <v>57</v>
      </c>
      <c r="M43" t="s">
        <v>69</v>
      </c>
      <c r="N43" t="s">
        <v>70</v>
      </c>
      <c r="O43" t="s">
        <v>71</v>
      </c>
      <c r="P43" t="s">
        <v>72</v>
      </c>
      <c r="Q43" t="s">
        <v>73</v>
      </c>
      <c r="R43" t="s">
        <v>74</v>
      </c>
      <c r="S43" t="s">
        <v>75</v>
      </c>
      <c r="T43" t="s">
        <v>76</v>
      </c>
      <c r="U43" t="s">
        <v>77</v>
      </c>
      <c r="V43" t="s">
        <v>78</v>
      </c>
      <c r="W43" t="s">
        <v>79</v>
      </c>
      <c r="X43" t="s">
        <v>80</v>
      </c>
      <c r="Y43" t="s">
        <v>81</v>
      </c>
      <c r="Z43" t="s">
        <v>82</v>
      </c>
      <c r="AA43" t="s">
        <v>83</v>
      </c>
      <c r="AB43" t="s">
        <v>84</v>
      </c>
      <c r="AC43" t="s">
        <v>85</v>
      </c>
      <c r="AD43" t="s">
        <v>86</v>
      </c>
      <c r="AE43" t="s">
        <v>87</v>
      </c>
      <c r="AF43" t="s">
        <v>88</v>
      </c>
      <c r="AG43" t="s">
        <v>89</v>
      </c>
      <c r="AH43" t="s">
        <v>90</v>
      </c>
      <c r="AI43" t="s">
        <v>91</v>
      </c>
    </row>
    <row r="44" spans="1:36" x14ac:dyDescent="0.25">
      <c r="A44" t="s">
        <v>58</v>
      </c>
      <c r="B44" s="2">
        <v>12473.913</v>
      </c>
      <c r="C44" s="2">
        <v>12185.806</v>
      </c>
      <c r="D44" s="2">
        <v>6401.8590000000004</v>
      </c>
      <c r="E44" s="2">
        <v>15952</v>
      </c>
      <c r="F44" s="2">
        <v>8738.1200000000008</v>
      </c>
      <c r="G44" s="2">
        <v>11218.800999999999</v>
      </c>
      <c r="H44" s="2">
        <v>25288</v>
      </c>
      <c r="I44" s="2">
        <v>1135575.247</v>
      </c>
      <c r="J44" s="2">
        <v>277600.00199999998</v>
      </c>
      <c r="K44" s="2"/>
      <c r="L44" s="2">
        <v>16795</v>
      </c>
      <c r="M44" s="2">
        <v>23371.754000000001</v>
      </c>
      <c r="N44" s="2">
        <v>14998.52</v>
      </c>
      <c r="O44" s="2">
        <v>15502.79</v>
      </c>
      <c r="P44" s="2">
        <v>7607.143</v>
      </c>
      <c r="Q44" s="2">
        <v>10342.746999999999</v>
      </c>
      <c r="R44" s="2">
        <v>2800000</v>
      </c>
      <c r="S44" s="2">
        <v>143622.66699999999</v>
      </c>
      <c r="T44" s="2">
        <v>11791304.347999999</v>
      </c>
      <c r="U44" s="2">
        <v>16180</v>
      </c>
      <c r="V44" s="2">
        <v>35088</v>
      </c>
      <c r="W44" s="2">
        <v>4624.72</v>
      </c>
      <c r="X44" s="2">
        <v>24526.044999999998</v>
      </c>
      <c r="Y44" s="2">
        <v>98039.216</v>
      </c>
      <c r="Z44" s="2">
        <v>30717.361000000001</v>
      </c>
      <c r="AA44" s="2">
        <v>15942</v>
      </c>
      <c r="AB44" s="2">
        <v>231843.86499999999</v>
      </c>
      <c r="AC44" s="2">
        <v>2135.1999999999998</v>
      </c>
      <c r="AD44" s="2">
        <v>11784</v>
      </c>
      <c r="AE44" s="2">
        <v>196266.66699999999</v>
      </c>
      <c r="AF44" s="2">
        <v>151791</v>
      </c>
      <c r="AG44" s="2">
        <v>208585.33300000001</v>
      </c>
      <c r="AH44" s="2">
        <v>153333.33300000001</v>
      </c>
      <c r="AI44" s="2">
        <v>8022.2380000000003</v>
      </c>
    </row>
    <row r="45" spans="1:36" x14ac:dyDescent="0.25">
      <c r="A45" t="s">
        <v>59</v>
      </c>
      <c r="B45" s="2">
        <v>15726.666999999999</v>
      </c>
      <c r="C45" s="2">
        <v>16639.332999999999</v>
      </c>
      <c r="D45" s="2">
        <v>8461.6579999999994</v>
      </c>
      <c r="E45" s="2">
        <v>21564.705999999998</v>
      </c>
      <c r="F45" s="2">
        <v>11636.2</v>
      </c>
      <c r="G45" s="2">
        <v>14334.322</v>
      </c>
      <c r="H45" s="2">
        <v>32867.31</v>
      </c>
      <c r="I45" s="2">
        <v>1590591.2560000001</v>
      </c>
      <c r="J45" s="2">
        <v>345477.217</v>
      </c>
      <c r="K45" s="2"/>
      <c r="L45" s="2">
        <v>24244.667000000001</v>
      </c>
      <c r="M45" s="2">
        <v>28885.311000000002</v>
      </c>
      <c r="N45" s="2">
        <v>19288.97</v>
      </c>
      <c r="O45" s="2">
        <v>18533.12</v>
      </c>
      <c r="P45" s="2">
        <v>11514.233</v>
      </c>
      <c r="Q45" s="2">
        <v>16176.861000000001</v>
      </c>
      <c r="R45" s="2">
        <v>4846153.8459999999</v>
      </c>
      <c r="S45" s="2">
        <v>177386</v>
      </c>
      <c r="T45" s="2">
        <v>16672000</v>
      </c>
      <c r="U45" s="2">
        <v>19900</v>
      </c>
      <c r="V45" s="2">
        <v>48819.13</v>
      </c>
      <c r="W45" s="2">
        <v>5980.1670000000004</v>
      </c>
      <c r="X45" s="2">
        <v>30037.626</v>
      </c>
      <c r="Y45" s="2">
        <v>158064.516</v>
      </c>
      <c r="Z45" s="2">
        <v>43624.266000000003</v>
      </c>
      <c r="AA45" s="2">
        <v>19441.429</v>
      </c>
      <c r="AB45" s="2">
        <v>291506.11099999998</v>
      </c>
      <c r="AC45" s="2">
        <v>4000</v>
      </c>
      <c r="AD45" s="2">
        <v>16565.556</v>
      </c>
      <c r="AE45" s="2">
        <v>276000</v>
      </c>
      <c r="AF45" s="2">
        <v>187385</v>
      </c>
      <c r="AG45" s="2">
        <v>269296.071</v>
      </c>
      <c r="AH45" s="2">
        <v>208695.652</v>
      </c>
      <c r="AI45" s="2">
        <v>13101.583000000001</v>
      </c>
    </row>
    <row r="46" spans="1:36" x14ac:dyDescent="0.25">
      <c r="A46" t="s">
        <v>60</v>
      </c>
      <c r="B46" s="2">
        <v>17220</v>
      </c>
      <c r="C46" s="2">
        <v>18101</v>
      </c>
      <c r="D46" s="2">
        <v>9571.9539999999997</v>
      </c>
      <c r="E46" s="2">
        <v>23406.315999999999</v>
      </c>
      <c r="F46" s="2">
        <v>13067.867</v>
      </c>
      <c r="G46" s="2">
        <v>15583.370999999999</v>
      </c>
      <c r="H46" s="2">
        <v>35953.379999999997</v>
      </c>
      <c r="I46" s="2">
        <v>1784787.9979999999</v>
      </c>
      <c r="J46" s="2">
        <v>376000.00799999997</v>
      </c>
      <c r="K46" s="2"/>
      <c r="L46" s="2">
        <v>27624.615000000002</v>
      </c>
      <c r="M46" s="2">
        <v>32066.100999999999</v>
      </c>
      <c r="N46" s="2">
        <v>21080.23</v>
      </c>
      <c r="O46" s="2">
        <v>20011.312999999998</v>
      </c>
      <c r="P46" s="2">
        <v>13382.4</v>
      </c>
      <c r="Q46" s="2">
        <v>18971.904999999999</v>
      </c>
      <c r="R46" s="2">
        <v>5944444.4440000001</v>
      </c>
      <c r="S46" s="2">
        <v>189364</v>
      </c>
      <c r="T46" s="2">
        <v>18900000</v>
      </c>
      <c r="U46" s="2">
        <v>21254.167000000001</v>
      </c>
      <c r="V46" s="2">
        <v>54929.142999999996</v>
      </c>
      <c r="W46" s="2">
        <v>6685.09</v>
      </c>
      <c r="X46" s="2">
        <v>32208.025000000001</v>
      </c>
      <c r="Y46" s="2">
        <v>184615.38500000001</v>
      </c>
      <c r="Z46" s="2">
        <v>48980.737999999998</v>
      </c>
      <c r="AA46" s="2">
        <v>20918</v>
      </c>
      <c r="AB46" s="2">
        <v>316425.33299999998</v>
      </c>
      <c r="AC46" s="2">
        <v>4948.6959999999999</v>
      </c>
      <c r="AD46" s="2">
        <v>18528</v>
      </c>
      <c r="AE46" s="2">
        <v>300000</v>
      </c>
      <c r="AF46" s="2">
        <v>205418</v>
      </c>
      <c r="AG46" s="2">
        <v>295403.5</v>
      </c>
      <c r="AH46" s="2">
        <v>235254.54699999999</v>
      </c>
      <c r="AI46" s="2">
        <v>16000</v>
      </c>
    </row>
    <row r="47" spans="1:36" x14ac:dyDescent="0.25">
      <c r="A47" t="s">
        <v>61</v>
      </c>
      <c r="B47" s="2">
        <v>18506.667000000001</v>
      </c>
      <c r="C47" s="2">
        <v>19743</v>
      </c>
      <c r="D47" s="2">
        <v>10484.906000000001</v>
      </c>
      <c r="E47" s="2">
        <v>25161.29</v>
      </c>
      <c r="F47" s="2">
        <v>14295.8</v>
      </c>
      <c r="G47" s="2">
        <v>16732.897000000001</v>
      </c>
      <c r="H47" s="2">
        <v>38561.127</v>
      </c>
      <c r="I47" s="2">
        <v>1942824.8049999999</v>
      </c>
      <c r="J47" s="2">
        <v>406999.99900000001</v>
      </c>
      <c r="K47" s="2"/>
      <c r="L47" s="2">
        <v>31059.444</v>
      </c>
      <c r="M47" s="2">
        <v>35125.675000000003</v>
      </c>
      <c r="N47" s="2">
        <v>22579.724999999999</v>
      </c>
      <c r="O47" s="2">
        <v>21613.463</v>
      </c>
      <c r="P47" s="2">
        <v>15000</v>
      </c>
      <c r="Q47" s="2">
        <v>22035.602999999999</v>
      </c>
      <c r="R47" s="2">
        <v>6875000</v>
      </c>
      <c r="S47" s="2">
        <v>200904</v>
      </c>
      <c r="T47" s="2">
        <v>20933333.333000001</v>
      </c>
      <c r="U47" s="2">
        <v>23156</v>
      </c>
      <c r="V47" s="2">
        <v>62142.857000000004</v>
      </c>
      <c r="W47" s="2">
        <v>7295.7340000000004</v>
      </c>
      <c r="X47" s="2">
        <v>34519.072</v>
      </c>
      <c r="Y47" s="2">
        <v>211111.111</v>
      </c>
      <c r="Z47" s="2">
        <v>54489.120000000003</v>
      </c>
      <c r="AA47" s="2">
        <v>22439.332999999999</v>
      </c>
      <c r="AB47" s="2">
        <v>338572.66700000002</v>
      </c>
      <c r="AC47" s="2">
        <v>5791</v>
      </c>
      <c r="AD47" s="2">
        <v>21000</v>
      </c>
      <c r="AE47" s="2">
        <v>336000</v>
      </c>
      <c r="AF47" s="2">
        <v>223988</v>
      </c>
      <c r="AG47" s="2">
        <v>320440</v>
      </c>
      <c r="AH47" s="2">
        <v>260800</v>
      </c>
      <c r="AI47" s="2">
        <v>18608.504000000001</v>
      </c>
    </row>
    <row r="48" spans="1:36" x14ac:dyDescent="0.25">
      <c r="A48" t="s">
        <v>62</v>
      </c>
      <c r="B48" s="2">
        <v>20925</v>
      </c>
      <c r="C48" s="2">
        <v>22762</v>
      </c>
      <c r="D48" s="2">
        <v>12603.19</v>
      </c>
      <c r="E48" s="2">
        <v>28800</v>
      </c>
      <c r="F48" s="2">
        <v>16622.965</v>
      </c>
      <c r="G48" s="2">
        <v>19402.492999999999</v>
      </c>
      <c r="H48" s="2">
        <v>44102.756999999998</v>
      </c>
      <c r="I48" s="2">
        <v>2291279.0010000002</v>
      </c>
      <c r="J48" s="2">
        <v>468778.00199999998</v>
      </c>
      <c r="K48" s="2"/>
      <c r="L48" s="2">
        <v>38336.667000000001</v>
      </c>
      <c r="M48" s="2">
        <v>41511.711000000003</v>
      </c>
      <c r="N48" s="2">
        <v>25761.577000000001</v>
      </c>
      <c r="O48" s="2">
        <v>24796.005000000001</v>
      </c>
      <c r="P48" s="2">
        <v>18000</v>
      </c>
      <c r="Q48" s="2">
        <v>27946.668000000001</v>
      </c>
      <c r="R48" s="2">
        <v>8869565.2170000002</v>
      </c>
      <c r="S48" s="2">
        <v>226567.33300000001</v>
      </c>
      <c r="T48" s="2">
        <v>24793333.333000001</v>
      </c>
      <c r="U48" s="2">
        <v>26655</v>
      </c>
      <c r="V48" s="2">
        <v>76742.221999999994</v>
      </c>
      <c r="W48" s="2">
        <v>8632.7000000000007</v>
      </c>
      <c r="X48" s="2">
        <v>40701.705000000002</v>
      </c>
      <c r="Y48" s="2">
        <v>264042.55300000001</v>
      </c>
      <c r="Z48" s="2">
        <v>65372.000999999997</v>
      </c>
      <c r="AA48" s="2">
        <v>25914</v>
      </c>
      <c r="AB48" s="2">
        <v>378740</v>
      </c>
      <c r="AC48" s="2">
        <v>7438.2560000000003</v>
      </c>
      <c r="AD48" s="2">
        <v>24300</v>
      </c>
      <c r="AE48" s="2">
        <v>399354.83899999998</v>
      </c>
      <c r="AF48" s="2">
        <v>259906</v>
      </c>
      <c r="AG48" s="2">
        <v>367086</v>
      </c>
      <c r="AH48" s="2">
        <v>312000</v>
      </c>
      <c r="AI48" s="2">
        <v>26344.295999999998</v>
      </c>
    </row>
    <row r="49" spans="1:35" x14ac:dyDescent="0.25">
      <c r="A49" t="s">
        <v>63</v>
      </c>
      <c r="B49" s="2">
        <v>23300</v>
      </c>
      <c r="C49" s="2">
        <v>25610</v>
      </c>
      <c r="D49" s="2">
        <v>14779.191999999999</v>
      </c>
      <c r="E49" s="2">
        <v>32400</v>
      </c>
      <c r="F49" s="2">
        <v>19082.511999999999</v>
      </c>
      <c r="G49" s="2">
        <v>22164.312999999998</v>
      </c>
      <c r="H49" s="2">
        <v>50150.821000000004</v>
      </c>
      <c r="I49" s="2">
        <v>2633710.7930000001</v>
      </c>
      <c r="J49" s="2">
        <v>534930.37800000003</v>
      </c>
      <c r="K49" s="2"/>
      <c r="L49" s="2">
        <v>45922.5</v>
      </c>
      <c r="M49" s="2">
        <v>48194.046000000002</v>
      </c>
      <c r="N49" s="2">
        <v>28812.66</v>
      </c>
      <c r="O49" s="2">
        <v>27574.993999999999</v>
      </c>
      <c r="P49" s="2">
        <v>21066.596000000001</v>
      </c>
      <c r="Q49" s="2">
        <v>34556.277000000002</v>
      </c>
      <c r="R49" s="2">
        <v>11161904.762</v>
      </c>
      <c r="S49" s="2">
        <v>253357.33300000001</v>
      </c>
      <c r="T49" s="2">
        <v>28960000</v>
      </c>
      <c r="U49" s="2">
        <v>30380</v>
      </c>
      <c r="V49" s="2">
        <v>91752</v>
      </c>
      <c r="W49" s="2">
        <v>10146.81</v>
      </c>
      <c r="X49" s="2">
        <v>46540.525999999998</v>
      </c>
      <c r="Y49" s="2">
        <v>326470.58799999999</v>
      </c>
      <c r="Z49" s="2">
        <v>77923.467000000004</v>
      </c>
      <c r="AA49" s="2">
        <v>29144.667000000001</v>
      </c>
      <c r="AB49" s="2">
        <v>418103.33299999998</v>
      </c>
      <c r="AC49" s="2">
        <v>9149.2980000000007</v>
      </c>
      <c r="AD49" s="2">
        <v>28000</v>
      </c>
      <c r="AE49" s="2">
        <v>456000</v>
      </c>
      <c r="AF49" s="2">
        <v>293727.33299999998</v>
      </c>
      <c r="AG49" s="2">
        <v>414808.571</v>
      </c>
      <c r="AH49" s="2">
        <v>366290.58899999998</v>
      </c>
      <c r="AI49" s="2">
        <v>36300.33</v>
      </c>
    </row>
    <row r="50" spans="1:35" x14ac:dyDescent="0.25">
      <c r="A50" t="s">
        <v>64</v>
      </c>
      <c r="B50" s="2">
        <v>25960</v>
      </c>
      <c r="C50" s="2">
        <v>28820.67</v>
      </c>
      <c r="D50" s="2">
        <v>17021.689999999999</v>
      </c>
      <c r="E50" s="2">
        <v>36000</v>
      </c>
      <c r="F50" s="2">
        <v>21624.86</v>
      </c>
      <c r="G50" s="2">
        <v>25435.119999999999</v>
      </c>
      <c r="H50" s="2">
        <v>57047</v>
      </c>
      <c r="I50" s="2">
        <v>3004026</v>
      </c>
      <c r="J50" s="2">
        <v>612000.02</v>
      </c>
      <c r="K50" s="2"/>
      <c r="L50" s="2">
        <v>54474</v>
      </c>
      <c r="M50" s="2">
        <v>55570.81</v>
      </c>
      <c r="N50" s="2">
        <v>32317.17</v>
      </c>
      <c r="O50" s="2">
        <v>30872.81</v>
      </c>
      <c r="P50" s="2">
        <v>25226.34</v>
      </c>
      <c r="Q50" s="2">
        <v>42119.839999999997</v>
      </c>
      <c r="R50" s="2">
        <v>14086956.52</v>
      </c>
      <c r="S50" s="2">
        <v>282827.33</v>
      </c>
      <c r="T50" s="2">
        <v>33476190.48</v>
      </c>
      <c r="U50" s="2">
        <v>34006.67</v>
      </c>
      <c r="V50" s="2">
        <v>108107.14</v>
      </c>
      <c r="W50" s="2">
        <v>11812.15</v>
      </c>
      <c r="X50" s="2">
        <v>53108.97</v>
      </c>
      <c r="Y50" s="2">
        <v>393405</v>
      </c>
      <c r="Z50" s="2">
        <v>92506.72</v>
      </c>
      <c r="AA50" s="2">
        <v>32177.5</v>
      </c>
      <c r="AB50" s="2">
        <v>460373.33</v>
      </c>
      <c r="AC50" s="2">
        <v>11062.13</v>
      </c>
      <c r="AD50" s="2">
        <v>32784</v>
      </c>
      <c r="AE50" s="2">
        <v>528000</v>
      </c>
      <c r="AF50" s="2">
        <v>330613.67</v>
      </c>
      <c r="AG50" s="2">
        <v>468719.6</v>
      </c>
      <c r="AH50" s="2">
        <v>433770</v>
      </c>
      <c r="AI50" s="2">
        <v>49114.37</v>
      </c>
    </row>
    <row r="51" spans="1:35" x14ac:dyDescent="0.25">
      <c r="A51" t="s">
        <v>65</v>
      </c>
      <c r="B51" s="2">
        <v>29268</v>
      </c>
      <c r="C51" s="2">
        <v>32388.5</v>
      </c>
      <c r="D51" s="2">
        <v>19569.21</v>
      </c>
      <c r="E51" s="2">
        <v>40320</v>
      </c>
      <c r="F51" s="2">
        <v>24865.53</v>
      </c>
      <c r="G51" s="2">
        <v>28917.279999999999</v>
      </c>
      <c r="H51" s="2">
        <v>64689.86</v>
      </c>
      <c r="I51" s="2">
        <v>3465473.43</v>
      </c>
      <c r="J51" s="2">
        <v>712719.05</v>
      </c>
      <c r="K51" s="2"/>
      <c r="L51" s="2">
        <v>64935.68</v>
      </c>
      <c r="M51" s="2">
        <v>63729.33</v>
      </c>
      <c r="N51" s="2">
        <v>36315.47</v>
      </c>
      <c r="O51" s="2">
        <v>34051.050000000003</v>
      </c>
      <c r="P51" s="2">
        <v>30925.5</v>
      </c>
      <c r="Q51" s="2">
        <v>51784.45</v>
      </c>
      <c r="R51" s="2">
        <v>17767272</v>
      </c>
      <c r="S51" s="2">
        <v>317176.67</v>
      </c>
      <c r="T51" s="2">
        <v>38885714.289999999</v>
      </c>
      <c r="U51" s="2">
        <v>38117.14</v>
      </c>
      <c r="V51" s="2">
        <v>125126.39999999999</v>
      </c>
      <c r="W51" s="2">
        <v>13937.56</v>
      </c>
      <c r="X51" s="2">
        <v>60206.26</v>
      </c>
      <c r="Y51" s="2">
        <v>480000</v>
      </c>
      <c r="Z51" s="2">
        <v>111006.94</v>
      </c>
      <c r="AA51" s="2">
        <v>35638.89</v>
      </c>
      <c r="AB51" s="2">
        <v>510834.65</v>
      </c>
      <c r="AC51" s="2">
        <v>13594</v>
      </c>
      <c r="AD51" s="2">
        <v>37200</v>
      </c>
      <c r="AE51" s="2">
        <v>607272.73</v>
      </c>
      <c r="AF51" s="2">
        <v>372090</v>
      </c>
      <c r="AG51" s="2">
        <v>534053.32999999996</v>
      </c>
      <c r="AH51" s="2">
        <v>520000</v>
      </c>
      <c r="AI51" s="2">
        <v>70155.360000000001</v>
      </c>
    </row>
    <row r="52" spans="1:35" x14ac:dyDescent="0.25">
      <c r="A52" t="s">
        <v>66</v>
      </c>
      <c r="B52" s="2">
        <v>31220</v>
      </c>
      <c r="C52" s="2">
        <v>34752</v>
      </c>
      <c r="D52" s="2">
        <v>21063.56</v>
      </c>
      <c r="E52" s="2">
        <v>42954</v>
      </c>
      <c r="F52" s="2">
        <v>26899.4</v>
      </c>
      <c r="G52" s="2">
        <v>31070</v>
      </c>
      <c r="H52" s="2">
        <v>69958.13</v>
      </c>
      <c r="I52" s="2">
        <v>3763039.25</v>
      </c>
      <c r="J52" s="2">
        <v>779999.99</v>
      </c>
      <c r="K52" s="2"/>
      <c r="L52" s="2">
        <v>71460.800000000003</v>
      </c>
      <c r="M52" s="2">
        <v>68425.41</v>
      </c>
      <c r="N52" s="2">
        <v>38375.46</v>
      </c>
      <c r="O52" s="2">
        <v>36055.49</v>
      </c>
      <c r="P52" s="2">
        <v>34617.269999999997</v>
      </c>
      <c r="Q52" s="2">
        <v>57961.99</v>
      </c>
      <c r="R52" s="2">
        <v>20224581.75</v>
      </c>
      <c r="S52" s="2">
        <v>337644.44</v>
      </c>
      <c r="T52" s="2">
        <v>42133333.329999998</v>
      </c>
      <c r="U52" s="2">
        <v>40666.67</v>
      </c>
      <c r="V52" s="2">
        <v>135840</v>
      </c>
      <c r="W52" s="2">
        <v>15378.99</v>
      </c>
      <c r="X52" s="2">
        <v>63201.26</v>
      </c>
      <c r="Y52" s="2">
        <v>530232.56000000006</v>
      </c>
      <c r="Z52" s="2">
        <v>123189.07</v>
      </c>
      <c r="AA52" s="2">
        <v>37758.89</v>
      </c>
      <c r="AB52" s="2">
        <v>541506.67000000004</v>
      </c>
      <c r="AC52" s="2">
        <v>15154.14</v>
      </c>
      <c r="AD52" s="2">
        <v>40000</v>
      </c>
      <c r="AE52" s="2">
        <v>660000</v>
      </c>
      <c r="AF52" s="2">
        <v>394305.42</v>
      </c>
      <c r="AG52" s="2">
        <v>575962.67000000004</v>
      </c>
      <c r="AH52" s="2">
        <v>573913.05000000005</v>
      </c>
      <c r="AI52" s="2">
        <v>84705.88</v>
      </c>
    </row>
    <row r="53" spans="1:35" x14ac:dyDescent="0.25">
      <c r="A53" t="s">
        <v>67</v>
      </c>
      <c r="B53" s="2">
        <v>33740</v>
      </c>
      <c r="C53" s="2">
        <v>37711.25</v>
      </c>
      <c r="D53" s="2">
        <v>22860.75</v>
      </c>
      <c r="E53" s="2">
        <v>46400</v>
      </c>
      <c r="F53" s="2">
        <v>29336.75</v>
      </c>
      <c r="G53" s="2">
        <v>33745.25</v>
      </c>
      <c r="H53" s="2">
        <v>75973.75</v>
      </c>
      <c r="I53" s="2">
        <v>4074191.19</v>
      </c>
      <c r="J53" s="2">
        <v>852714.67</v>
      </c>
      <c r="K53" s="2"/>
      <c r="L53" s="2">
        <v>79427.5</v>
      </c>
      <c r="M53" s="2">
        <v>74327.66</v>
      </c>
      <c r="N53" s="2">
        <v>40995.129999999997</v>
      </c>
      <c r="O53" s="2">
        <v>38441.21</v>
      </c>
      <c r="P53" s="2">
        <v>39674.660000000003</v>
      </c>
      <c r="Q53" s="2">
        <v>65017.3</v>
      </c>
      <c r="R53" s="2">
        <v>23513566.440000001</v>
      </c>
      <c r="S53" s="2">
        <v>362060</v>
      </c>
      <c r="T53" s="2">
        <v>46126666.670000002</v>
      </c>
      <c r="U53" s="2">
        <v>43257.14</v>
      </c>
      <c r="V53" s="2">
        <v>148158</v>
      </c>
      <c r="W53" s="2">
        <v>16800</v>
      </c>
      <c r="X53" s="2">
        <v>67522.91</v>
      </c>
      <c r="Y53" s="2">
        <v>601969.69999999995</v>
      </c>
      <c r="Z53" s="2">
        <v>139705.35999999999</v>
      </c>
      <c r="AA53" s="2">
        <v>40168</v>
      </c>
      <c r="AB53" s="2">
        <v>578660.32999999996</v>
      </c>
      <c r="AC53" s="2">
        <v>17072.5</v>
      </c>
      <c r="AD53" s="2">
        <v>43935.48</v>
      </c>
      <c r="AE53" s="2">
        <v>720000</v>
      </c>
      <c r="AF53" s="2">
        <v>423836.67</v>
      </c>
      <c r="AG53" s="2">
        <v>631131.6</v>
      </c>
      <c r="AH53" s="2">
        <v>652173.92000000004</v>
      </c>
      <c r="AI53" s="2">
        <v>108383.55</v>
      </c>
    </row>
    <row r="54" spans="1:35" x14ac:dyDescent="0.25">
      <c r="A54" t="s">
        <v>68</v>
      </c>
      <c r="B54" s="2">
        <v>41905.56</v>
      </c>
      <c r="C54" s="2">
        <v>47196</v>
      </c>
      <c r="D54" s="2">
        <v>28203.1</v>
      </c>
      <c r="E54" s="2">
        <v>56666.67</v>
      </c>
      <c r="F54" s="2">
        <v>36856.550000000003</v>
      </c>
      <c r="G54" s="2">
        <v>42312.35</v>
      </c>
      <c r="H54" s="2">
        <v>95601.32</v>
      </c>
      <c r="I54" s="2">
        <v>5026464.96</v>
      </c>
      <c r="J54" s="2">
        <v>1100390.67</v>
      </c>
      <c r="K54" s="2"/>
      <c r="L54" s="2">
        <v>107849</v>
      </c>
      <c r="M54" s="2">
        <v>92583.96</v>
      </c>
      <c r="N54" s="2">
        <v>49685.07</v>
      </c>
      <c r="O54" s="2">
        <v>45823.55</v>
      </c>
      <c r="P54" s="2">
        <v>58549.63</v>
      </c>
      <c r="Q54" s="2">
        <v>88345</v>
      </c>
      <c r="R54" s="2">
        <v>36668581.75</v>
      </c>
      <c r="S54" s="2">
        <v>437862.67</v>
      </c>
      <c r="T54" s="2">
        <v>58292307.689999998</v>
      </c>
      <c r="U54" s="2">
        <v>53065.71</v>
      </c>
      <c r="V54" s="2">
        <v>188384.35</v>
      </c>
      <c r="W54" s="2">
        <v>22532.82</v>
      </c>
      <c r="X54" s="2">
        <v>85096.07</v>
      </c>
      <c r="Y54" s="2">
        <v>857857.14</v>
      </c>
      <c r="Z54" s="2">
        <v>198260.8</v>
      </c>
      <c r="AA54" s="2">
        <v>48329.05</v>
      </c>
      <c r="AB54" s="2">
        <v>696034</v>
      </c>
      <c r="AC54" s="2">
        <v>23367.96</v>
      </c>
      <c r="AD54" s="2">
        <v>52300</v>
      </c>
      <c r="AE54" s="2">
        <v>878400</v>
      </c>
      <c r="AF54" s="2">
        <v>508897</v>
      </c>
      <c r="AG54" s="2">
        <v>807341.6</v>
      </c>
      <c r="AH54" s="2">
        <v>920000</v>
      </c>
      <c r="AI54" s="2">
        <v>201089.89</v>
      </c>
    </row>
    <row r="56" spans="1:35" x14ac:dyDescent="0.25">
      <c r="A56" t="s">
        <v>105</v>
      </c>
      <c r="B56" t="s">
        <v>106</v>
      </c>
      <c r="C56" t="s">
        <v>107</v>
      </c>
      <c r="D56" t="s">
        <v>108</v>
      </c>
      <c r="E56" t="s">
        <v>109</v>
      </c>
      <c r="F56" t="s">
        <v>121</v>
      </c>
      <c r="H56" t="s">
        <v>110</v>
      </c>
      <c r="J56" t="s">
        <v>126</v>
      </c>
      <c r="K56" t="s">
        <v>141</v>
      </c>
      <c r="L56" t="s">
        <v>122</v>
      </c>
      <c r="M56" t="s">
        <v>123</v>
      </c>
    </row>
    <row r="57" spans="1:35" x14ac:dyDescent="0.25">
      <c r="A57" t="s">
        <v>58</v>
      </c>
      <c r="B57">
        <v>12537</v>
      </c>
      <c r="C57">
        <v>14190</v>
      </c>
      <c r="D57">
        <v>9284</v>
      </c>
      <c r="E57">
        <v>25044</v>
      </c>
      <c r="F57">
        <v>8391</v>
      </c>
      <c r="H57">
        <v>24281</v>
      </c>
      <c r="J57" s="2">
        <v>363494</v>
      </c>
      <c r="L57" s="2">
        <v>16178</v>
      </c>
      <c r="M57" s="2"/>
    </row>
    <row r="58" spans="1:35" x14ac:dyDescent="0.25">
      <c r="A58" t="s">
        <v>59</v>
      </c>
      <c r="B58">
        <v>16009</v>
      </c>
      <c r="C58">
        <v>18104</v>
      </c>
      <c r="D58">
        <v>12189</v>
      </c>
      <c r="E58">
        <v>31951</v>
      </c>
      <c r="F58">
        <v>11687</v>
      </c>
      <c r="H58">
        <v>31934</v>
      </c>
      <c r="J58" s="2">
        <v>508571</v>
      </c>
      <c r="L58" s="2">
        <v>28686</v>
      </c>
    </row>
    <row r="59" spans="1:35" x14ac:dyDescent="0.25">
      <c r="A59" t="s">
        <v>60</v>
      </c>
      <c r="B59">
        <v>17502</v>
      </c>
      <c r="C59">
        <v>19836</v>
      </c>
      <c r="D59">
        <v>13535</v>
      </c>
      <c r="E59">
        <v>34849</v>
      </c>
      <c r="F59">
        <v>13090</v>
      </c>
      <c r="H59">
        <v>35095</v>
      </c>
      <c r="J59" s="2">
        <v>574693</v>
      </c>
      <c r="L59" s="2">
        <v>34583</v>
      </c>
    </row>
    <row r="60" spans="1:35" x14ac:dyDescent="0.25">
      <c r="A60" t="s">
        <v>61</v>
      </c>
      <c r="B60">
        <v>18952</v>
      </c>
      <c r="C60">
        <v>21415</v>
      </c>
      <c r="D60">
        <v>14708</v>
      </c>
      <c r="E60">
        <v>37388</v>
      </c>
      <c r="F60">
        <v>14387</v>
      </c>
      <c r="H60">
        <v>37777</v>
      </c>
      <c r="J60" s="2">
        <v>633972</v>
      </c>
      <c r="L60" s="2">
        <v>41177</v>
      </c>
    </row>
    <row r="61" spans="1:35" x14ac:dyDescent="0.25">
      <c r="A61" t="s">
        <v>62</v>
      </c>
      <c r="B61">
        <v>21557</v>
      </c>
      <c r="C61">
        <v>24440</v>
      </c>
      <c r="D61">
        <v>17429</v>
      </c>
      <c r="E61">
        <v>42263</v>
      </c>
      <c r="F61">
        <v>16887</v>
      </c>
      <c r="H61">
        <v>43803</v>
      </c>
      <c r="J61" s="2">
        <v>751800</v>
      </c>
      <c r="L61" s="2">
        <v>53850</v>
      </c>
    </row>
    <row r="62" spans="1:35" x14ac:dyDescent="0.25">
      <c r="A62" t="s">
        <v>63</v>
      </c>
      <c r="B62">
        <v>24179</v>
      </c>
      <c r="C62">
        <v>27556</v>
      </c>
      <c r="D62">
        <v>19819</v>
      </c>
      <c r="E62">
        <v>47084</v>
      </c>
      <c r="F62">
        <v>19307</v>
      </c>
      <c r="H62">
        <v>49560</v>
      </c>
      <c r="J62" s="2">
        <v>880765</v>
      </c>
      <c r="L62" s="2">
        <v>68867</v>
      </c>
    </row>
    <row r="63" spans="1:35" x14ac:dyDescent="0.25">
      <c r="A63" t="s">
        <v>64</v>
      </c>
      <c r="B63">
        <v>27006</v>
      </c>
      <c r="C63">
        <v>31182</v>
      </c>
      <c r="D63">
        <v>22695</v>
      </c>
      <c r="E63">
        <v>52351</v>
      </c>
      <c r="F63">
        <v>22172</v>
      </c>
      <c r="H63">
        <v>56220</v>
      </c>
      <c r="J63" s="2">
        <v>1018100</v>
      </c>
      <c r="L63" s="2">
        <v>87089</v>
      </c>
    </row>
    <row r="64" spans="1:35" x14ac:dyDescent="0.25">
      <c r="A64" t="s">
        <v>65</v>
      </c>
      <c r="B64">
        <v>30635</v>
      </c>
      <c r="C64">
        <v>35572</v>
      </c>
      <c r="D64">
        <v>25941</v>
      </c>
      <c r="E64">
        <v>59046</v>
      </c>
      <c r="F64">
        <v>25381</v>
      </c>
      <c r="H64">
        <v>63479</v>
      </c>
      <c r="J64" s="2">
        <v>1199674</v>
      </c>
      <c r="L64" s="2">
        <v>109815</v>
      </c>
    </row>
    <row r="65" spans="1:14" x14ac:dyDescent="0.25">
      <c r="A65" t="s">
        <v>66</v>
      </c>
      <c r="B65">
        <v>32816</v>
      </c>
      <c r="C65">
        <v>38196</v>
      </c>
      <c r="D65">
        <v>27972</v>
      </c>
      <c r="E65">
        <v>62955</v>
      </c>
      <c r="F65">
        <v>27399</v>
      </c>
      <c r="H65">
        <v>68083</v>
      </c>
      <c r="J65" s="2">
        <v>1311284</v>
      </c>
      <c r="L65" s="2">
        <v>124079</v>
      </c>
    </row>
    <row r="66" spans="1:14" x14ac:dyDescent="0.25">
      <c r="A66" t="s">
        <v>67</v>
      </c>
      <c r="B66">
        <v>35361</v>
      </c>
      <c r="C66">
        <v>41370</v>
      </c>
      <c r="D66">
        <v>30442</v>
      </c>
      <c r="E66">
        <v>68338</v>
      </c>
      <c r="F66">
        <v>29828</v>
      </c>
      <c r="H66">
        <v>74078</v>
      </c>
      <c r="J66" s="2">
        <v>1461663</v>
      </c>
      <c r="L66" s="2">
        <v>142989</v>
      </c>
    </row>
    <row r="67" spans="1:14" x14ac:dyDescent="0.25">
      <c r="A67" t="s">
        <v>68</v>
      </c>
      <c r="B67">
        <v>44071</v>
      </c>
      <c r="C67">
        <v>51810</v>
      </c>
      <c r="D67">
        <v>38239</v>
      </c>
      <c r="E67">
        <v>84067</v>
      </c>
      <c r="F67">
        <v>37303</v>
      </c>
      <c r="H67">
        <v>92421</v>
      </c>
      <c r="J67" s="2">
        <v>1910078</v>
      </c>
      <c r="L67" s="2">
        <v>203016</v>
      </c>
    </row>
    <row r="69" spans="1:14" x14ac:dyDescent="0.25">
      <c r="A69" t="s">
        <v>113</v>
      </c>
      <c r="B69" t="s">
        <v>6</v>
      </c>
      <c r="C69" t="s">
        <v>2</v>
      </c>
      <c r="D69" t="s">
        <v>3</v>
      </c>
      <c r="E69" t="s">
        <v>4</v>
      </c>
      <c r="F69" t="s">
        <v>7</v>
      </c>
      <c r="G69" t="s">
        <v>8</v>
      </c>
      <c r="H69" t="s">
        <v>9</v>
      </c>
      <c r="I69" t="s">
        <v>5</v>
      </c>
      <c r="J69" t="s">
        <v>10</v>
      </c>
      <c r="K69" t="s">
        <v>11</v>
      </c>
      <c r="L69" t="s">
        <v>1</v>
      </c>
      <c r="M69" t="s">
        <v>111</v>
      </c>
      <c r="N69" t="s">
        <v>112</v>
      </c>
    </row>
    <row r="70" spans="1:14" x14ac:dyDescent="0.25">
      <c r="A70" t="s">
        <v>58</v>
      </c>
      <c r="B70" s="2">
        <v>6078.1</v>
      </c>
      <c r="C70" s="2">
        <v>6383</v>
      </c>
      <c r="D70" s="2">
        <v>358.4</v>
      </c>
      <c r="E70" s="2">
        <v>11230.2</v>
      </c>
      <c r="F70" s="2">
        <v>4649</v>
      </c>
      <c r="G70" s="2">
        <v>6145.9</v>
      </c>
      <c r="H70" s="2">
        <v>14025.6</v>
      </c>
      <c r="I70" s="2">
        <v>460802.5</v>
      </c>
      <c r="J70" s="2">
        <v>139458.70000000001</v>
      </c>
      <c r="K70" s="2">
        <v>10775.6</v>
      </c>
      <c r="L70" s="2">
        <v>9228.6</v>
      </c>
      <c r="M70" s="2">
        <v>4613625.5</v>
      </c>
      <c r="N70" s="2">
        <v>6790.6</v>
      </c>
    </row>
    <row r="71" spans="1:14" x14ac:dyDescent="0.25">
      <c r="A71" t="s">
        <v>59</v>
      </c>
      <c r="B71" s="2">
        <v>17930.400000000001</v>
      </c>
      <c r="C71" s="2">
        <v>18829.900000000001</v>
      </c>
      <c r="D71" s="2">
        <v>8257.4</v>
      </c>
      <c r="E71" s="2">
        <v>33129.1</v>
      </c>
      <c r="F71" s="2">
        <v>13714.7</v>
      </c>
      <c r="G71" s="2">
        <v>18130.3</v>
      </c>
      <c r="H71" s="2">
        <v>41375.699999999997</v>
      </c>
      <c r="I71" s="2">
        <v>1359367.5</v>
      </c>
      <c r="J71" s="2">
        <v>411403.1</v>
      </c>
      <c r="K71" s="2">
        <v>31788</v>
      </c>
      <c r="L71" s="2">
        <v>20997.1</v>
      </c>
      <c r="M71" s="2">
        <v>13610196</v>
      </c>
      <c r="N71" s="2">
        <v>21717.200000000001</v>
      </c>
    </row>
    <row r="72" spans="1:14" x14ac:dyDescent="0.25">
      <c r="A72" t="s">
        <v>60</v>
      </c>
      <c r="B72" s="2">
        <v>20676.7</v>
      </c>
      <c r="C72" s="2">
        <v>22283.9</v>
      </c>
      <c r="D72" s="2">
        <v>12726.9</v>
      </c>
      <c r="E72" s="2">
        <v>38253.4</v>
      </c>
      <c r="F72" s="2">
        <v>15588.7</v>
      </c>
      <c r="G72" s="2">
        <v>20490</v>
      </c>
      <c r="H72" s="2">
        <v>47905.3</v>
      </c>
      <c r="I72" s="2">
        <v>1752374.6</v>
      </c>
      <c r="J72" s="2">
        <v>464634.9</v>
      </c>
      <c r="K72" s="2">
        <v>35422.6</v>
      </c>
      <c r="L72" s="2">
        <v>24175.1</v>
      </c>
      <c r="M72" s="2">
        <v>17541398</v>
      </c>
      <c r="N72" s="2">
        <v>28571.7</v>
      </c>
    </row>
    <row r="73" spans="1:14" x14ac:dyDescent="0.25">
      <c r="A73" t="s">
        <v>61</v>
      </c>
      <c r="B73" s="2">
        <v>23351.3</v>
      </c>
      <c r="C73" s="2">
        <v>25165.4</v>
      </c>
      <c r="D73" s="2">
        <v>15434.7</v>
      </c>
      <c r="E73" s="2">
        <v>43225.7</v>
      </c>
      <c r="F73" s="2">
        <v>17109.7</v>
      </c>
      <c r="G73" s="2">
        <v>23135.8</v>
      </c>
      <c r="H73" s="2">
        <v>52516.1</v>
      </c>
      <c r="I73" s="2">
        <v>2188251.5</v>
      </c>
      <c r="J73" s="2">
        <v>511788.2</v>
      </c>
      <c r="K73" s="2">
        <v>41271</v>
      </c>
      <c r="L73" s="2">
        <v>28126.400000000001</v>
      </c>
      <c r="M73" s="2">
        <v>21917586</v>
      </c>
      <c r="N73" s="2">
        <v>35050.1</v>
      </c>
    </row>
    <row r="74" spans="1:14" x14ac:dyDescent="0.25">
      <c r="A74" t="s">
        <v>62</v>
      </c>
      <c r="B74" s="2">
        <v>30297.4</v>
      </c>
      <c r="C74" s="2">
        <v>30985.5</v>
      </c>
      <c r="D74" s="2">
        <v>20989</v>
      </c>
      <c r="E74" s="2">
        <v>53705.8</v>
      </c>
      <c r="F74" s="2">
        <v>20392.5</v>
      </c>
      <c r="G74" s="2">
        <v>28314.400000000001</v>
      </c>
      <c r="H74" s="2">
        <v>62869.9</v>
      </c>
      <c r="I74" s="2">
        <v>3067746.3</v>
      </c>
      <c r="J74" s="2">
        <v>615778.6</v>
      </c>
      <c r="K74" s="2">
        <v>49012.2</v>
      </c>
      <c r="L74" s="2">
        <v>38865.1</v>
      </c>
      <c r="M74" s="2">
        <v>30778044</v>
      </c>
      <c r="N74" s="2">
        <v>47247.4</v>
      </c>
    </row>
    <row r="75" spans="1:14" x14ac:dyDescent="0.25">
      <c r="A75" t="s">
        <v>63</v>
      </c>
      <c r="B75" s="2">
        <v>37074.9</v>
      </c>
      <c r="C75" s="2">
        <v>37286</v>
      </c>
      <c r="D75" s="2">
        <v>26071.4</v>
      </c>
      <c r="E75" s="2">
        <v>63501.5</v>
      </c>
      <c r="F75" s="2">
        <v>24444.799999999999</v>
      </c>
      <c r="G75" s="2">
        <v>33390.800000000003</v>
      </c>
      <c r="H75" s="2">
        <v>72742.2</v>
      </c>
      <c r="I75" s="2">
        <v>3845050.8</v>
      </c>
      <c r="J75" s="2">
        <v>714173.8</v>
      </c>
      <c r="K75" s="2">
        <v>65862.399999999994</v>
      </c>
      <c r="L75" s="2">
        <v>50166.5</v>
      </c>
      <c r="M75" s="2">
        <v>38680148</v>
      </c>
      <c r="N75" s="2">
        <v>59143.9</v>
      </c>
    </row>
    <row r="76" spans="1:14" x14ac:dyDescent="0.25">
      <c r="A76" t="s">
        <v>64</v>
      </c>
      <c r="B76" s="2">
        <v>43624.800000000003</v>
      </c>
      <c r="C76" s="2">
        <v>44189</v>
      </c>
      <c r="D76" s="2">
        <v>31337.3</v>
      </c>
      <c r="E76" s="2">
        <v>73984.3</v>
      </c>
      <c r="F76" s="2">
        <v>28752.1</v>
      </c>
      <c r="G76" s="2">
        <v>39412.400000000001</v>
      </c>
      <c r="H76" s="2">
        <v>82784.3</v>
      </c>
      <c r="I76" s="2">
        <v>4392949.5</v>
      </c>
      <c r="J76" s="2">
        <v>853768.3</v>
      </c>
      <c r="K76" s="2">
        <v>83483.199999999997</v>
      </c>
      <c r="L76" s="2">
        <v>64944.6</v>
      </c>
      <c r="M76" s="2">
        <v>44360744</v>
      </c>
      <c r="N76" s="2">
        <v>71467.7</v>
      </c>
    </row>
    <row r="77" spans="1:14" x14ac:dyDescent="0.25">
      <c r="A77" t="s">
        <v>65</v>
      </c>
      <c r="B77" s="2">
        <v>50815.3</v>
      </c>
      <c r="C77" s="2">
        <v>53022.2</v>
      </c>
      <c r="D77" s="2">
        <v>37956.1</v>
      </c>
      <c r="E77" s="2">
        <v>87004</v>
      </c>
      <c r="F77" s="2">
        <v>33740.199999999997</v>
      </c>
      <c r="G77" s="2">
        <v>47140.5</v>
      </c>
      <c r="H77" s="2">
        <v>94901.3</v>
      </c>
      <c r="I77" s="2">
        <v>4644803.5</v>
      </c>
      <c r="J77" s="2">
        <v>1015481.7</v>
      </c>
      <c r="K77" s="2">
        <v>110460.1</v>
      </c>
      <c r="L77" s="2">
        <v>83331.7</v>
      </c>
      <c r="M77" s="2">
        <v>46916760</v>
      </c>
      <c r="N77" s="2">
        <v>87715.6</v>
      </c>
    </row>
    <row r="78" spans="1:14" x14ac:dyDescent="0.25">
      <c r="A78" t="s">
        <v>66</v>
      </c>
      <c r="B78" s="2">
        <v>55410.9</v>
      </c>
      <c r="C78" s="2">
        <v>58865.8</v>
      </c>
      <c r="D78" s="2">
        <v>42168.2</v>
      </c>
      <c r="E78" s="2">
        <v>95817.7</v>
      </c>
      <c r="F78" s="2">
        <v>36803.5</v>
      </c>
      <c r="G78" s="2">
        <v>51824.6</v>
      </c>
      <c r="H78" s="2">
        <v>102102.5</v>
      </c>
      <c r="I78" s="2">
        <v>4676404</v>
      </c>
      <c r="J78" s="2">
        <v>1115791.8</v>
      </c>
      <c r="K78" s="2">
        <v>129964.9</v>
      </c>
      <c r="L78" s="2">
        <v>95172.3</v>
      </c>
      <c r="M78" s="2">
        <v>46933868</v>
      </c>
      <c r="N78" s="2">
        <v>97356.800000000003</v>
      </c>
    </row>
    <row r="79" spans="1:14" x14ac:dyDescent="0.25">
      <c r="A79" t="s">
        <v>67</v>
      </c>
      <c r="B79" s="2">
        <v>60296.4</v>
      </c>
      <c r="C79" s="2">
        <v>65544</v>
      </c>
      <c r="D79" s="2">
        <v>47406.2</v>
      </c>
      <c r="E79" s="2">
        <v>108004.8</v>
      </c>
      <c r="F79" s="2">
        <v>40629.199999999997</v>
      </c>
      <c r="G79" s="2">
        <v>57570</v>
      </c>
      <c r="H79" s="2">
        <v>111637.8</v>
      </c>
      <c r="I79" s="2">
        <v>4729980.5</v>
      </c>
      <c r="J79" s="2">
        <v>1265519.3</v>
      </c>
      <c r="K79" s="2">
        <v>153090.1</v>
      </c>
      <c r="L79" s="2">
        <v>110384.5</v>
      </c>
      <c r="M79" s="2">
        <v>46934076</v>
      </c>
      <c r="N79" s="2">
        <v>109565.3</v>
      </c>
    </row>
    <row r="80" spans="1:14" x14ac:dyDescent="0.25">
      <c r="A80" t="s">
        <v>68</v>
      </c>
      <c r="B80" s="2">
        <v>81117.100000000006</v>
      </c>
      <c r="C80" s="2">
        <v>92009.4</v>
      </c>
      <c r="D80" s="2">
        <v>65838</v>
      </c>
      <c r="E80" s="2">
        <v>146150.70000000001</v>
      </c>
      <c r="F80" s="2">
        <v>52773.2</v>
      </c>
      <c r="G80" s="2">
        <v>78656.899999999994</v>
      </c>
      <c r="H80" s="2">
        <v>146376.79999999999</v>
      </c>
      <c r="I80" s="2">
        <v>6930031.5</v>
      </c>
      <c r="J80" s="2">
        <v>1826221.5</v>
      </c>
      <c r="K80" s="2">
        <v>283212.7</v>
      </c>
      <c r="L80" s="2">
        <v>165346.29999999999</v>
      </c>
      <c r="M80" s="2">
        <v>52612360</v>
      </c>
      <c r="N80" s="2">
        <v>149432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Quotas</vt:lpstr>
      <vt:lpstr>Election</vt:lpstr>
      <vt:lpstr>income_raw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Fabre  Adrien</dc:creator>
  <cp:lastModifiedBy>reviewer</cp:lastModifiedBy>
  <cp:lastPrinted>2025-02-14T15:34:27Z</cp:lastPrinted>
  <dcterms:created xsi:type="dcterms:W3CDTF">2021-07-28T19:55:14Z</dcterms:created>
  <dcterms:modified xsi:type="dcterms:W3CDTF">2026-03-12T23:13:56Z</dcterms:modified>
</cp:coreProperties>
</file>